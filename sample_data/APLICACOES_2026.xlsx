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/>
  <mc:AlternateContent xmlns:mc="http://schemas.openxmlformats.org/markup-compatibility/2006">
    <mc:Choice Requires="x15">
      <x15ac:absPath xmlns:x15ac="http://schemas.microsoft.com/office/spreadsheetml/2010/11/ac" url="R:\DIRETORIA\HELIO_GALVAO\2026\FINANÇAS\APLICAÇÕES\"/>
    </mc:Choice>
  </mc:AlternateContent>
  <xr:revisionPtr revIDLastSave="0" documentId="13_ncr:1_{DF57E59D-0108-43C5-B61B-49D4DA542B3B}" xr6:coauthVersionLast="47" xr6:coauthVersionMax="47" xr10:uidLastSave="{00000000-0000-0000-0000-000000000000}"/>
  <bookViews>
    <workbookView xWindow="-108" yWindow="-108" windowWidth="20376" windowHeight="12096" activeTab="2" xr2:uid="{00000000-000D-0000-FFFF-FFFF00000000}"/>
  </bookViews>
  <sheets>
    <sheet name="RESUMO1" sheetId="2" r:id="rId1"/>
    <sheet name="BANCO XP RENATA" sheetId="1" r:id="rId2"/>
    <sheet name="BANCO ITAÚ RENATA HELIO" sheetId="3" r:id="rId3"/>
    <sheet name="SICOOB" sheetId="6" r:id="rId4"/>
    <sheet name="SAFRA" sheetId="7" r:id="rId5"/>
    <sheet name="SANTANDE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G13" i="7"/>
  <c r="D28" i="3"/>
  <c r="D10" i="7"/>
  <c r="D56" i="2"/>
  <c r="H121" i="8" l="1"/>
  <c r="B121" i="8"/>
  <c r="G121" i="8" s="1"/>
  <c r="H111" i="8"/>
  <c r="B111" i="8"/>
  <c r="G111" i="8" s="1"/>
  <c r="H101" i="8"/>
  <c r="B101" i="8"/>
  <c r="G101" i="8" s="1"/>
  <c r="H91" i="8"/>
  <c r="B91" i="8"/>
  <c r="G91" i="8" s="1"/>
  <c r="H81" i="8"/>
  <c r="B81" i="8"/>
  <c r="G81" i="8" s="1"/>
  <c r="H71" i="8"/>
  <c r="B71" i="8"/>
  <c r="G71" i="8" s="1"/>
  <c r="H61" i="8"/>
  <c r="B61" i="8"/>
  <c r="G61" i="8" s="1"/>
  <c r="H51" i="8"/>
  <c r="B51" i="8"/>
  <c r="G51" i="8" s="1"/>
  <c r="H41" i="8"/>
  <c r="B41" i="8"/>
  <c r="G41" i="8" s="1"/>
  <c r="B16" i="8"/>
  <c r="B17" i="8"/>
  <c r="B18" i="8"/>
  <c r="B19" i="8"/>
  <c r="B20" i="8"/>
  <c r="B21" i="8"/>
  <c r="E19" i="8"/>
  <c r="E20" i="8"/>
  <c r="H31" i="8"/>
  <c r="B31" i="8"/>
  <c r="G31" i="8" s="1"/>
  <c r="G21" i="8"/>
  <c r="G20" i="8"/>
  <c r="G19" i="8"/>
  <c r="G18" i="8"/>
  <c r="E18" i="8"/>
  <c r="G17" i="8"/>
  <c r="E17" i="8"/>
  <c r="G16" i="8"/>
  <c r="E16" i="8"/>
  <c r="G15" i="8"/>
  <c r="E15" i="8"/>
  <c r="B15" i="8"/>
  <c r="B22" i="2"/>
  <c r="B23" i="2"/>
  <c r="B24" i="2"/>
  <c r="B25" i="2"/>
  <c r="B26" i="2"/>
  <c r="B28" i="2"/>
  <c r="B29" i="2"/>
  <c r="B30" i="2"/>
  <c r="B31" i="2"/>
  <c r="F193" i="3"/>
  <c r="B35" i="1"/>
  <c r="B36" i="1"/>
  <c r="H26" i="1"/>
  <c r="H27" i="1"/>
  <c r="E26" i="1"/>
  <c r="E27" i="1"/>
  <c r="F17" i="3" l="1"/>
  <c r="B17" i="3"/>
  <c r="F122" i="8"/>
  <c r="D122" i="8"/>
  <c r="C122" i="8"/>
  <c r="F112" i="8"/>
  <c r="D112" i="8"/>
  <c r="C112" i="8"/>
  <c r="F102" i="8"/>
  <c r="D102" i="8"/>
  <c r="C102" i="8"/>
  <c r="F92" i="8"/>
  <c r="D92" i="8"/>
  <c r="C92" i="8"/>
  <c r="F82" i="8"/>
  <c r="D82" i="8"/>
  <c r="C82" i="8"/>
  <c r="F72" i="8"/>
  <c r="D72" i="8"/>
  <c r="C72" i="8"/>
  <c r="F62" i="8"/>
  <c r="D62" i="8"/>
  <c r="C62" i="8"/>
  <c r="F52" i="8"/>
  <c r="D52" i="8"/>
  <c r="C52" i="8"/>
  <c r="F42" i="8"/>
  <c r="D42" i="8"/>
  <c r="C42" i="8"/>
  <c r="F32" i="8"/>
  <c r="D32" i="8"/>
  <c r="C32" i="8"/>
  <c r="F22" i="8"/>
  <c r="E22" i="8"/>
  <c r="D22" i="8"/>
  <c r="C22" i="8"/>
  <c r="B22" i="8"/>
  <c r="H21" i="8"/>
  <c r="H20" i="8"/>
  <c r="H19" i="8"/>
  <c r="H18" i="8"/>
  <c r="H17" i="8"/>
  <c r="H16" i="8"/>
  <c r="H15" i="8"/>
  <c r="G22" i="8"/>
  <c r="F12" i="8"/>
  <c r="D12" i="8"/>
  <c r="C12" i="8"/>
  <c r="B12" i="8"/>
  <c r="H11" i="8"/>
  <c r="G11" i="8"/>
  <c r="H10" i="8"/>
  <c r="G10" i="8"/>
  <c r="E10" i="8"/>
  <c r="H9" i="8"/>
  <c r="G9" i="8"/>
  <c r="E9" i="8"/>
  <c r="H8" i="8"/>
  <c r="G8" i="8"/>
  <c r="E8" i="8"/>
  <c r="H7" i="8"/>
  <c r="G7" i="8"/>
  <c r="E7" i="8"/>
  <c r="H6" i="8"/>
  <c r="G6" i="8"/>
  <c r="E6" i="8"/>
  <c r="G5" i="8"/>
  <c r="G12" i="8" s="1"/>
  <c r="E5" i="8"/>
  <c r="F73" i="7"/>
  <c r="D73" i="7"/>
  <c r="C73" i="7"/>
  <c r="H72" i="7"/>
  <c r="G72" i="7"/>
  <c r="E72" i="7"/>
  <c r="B72" i="7"/>
  <c r="F67" i="7"/>
  <c r="D67" i="7"/>
  <c r="C67" i="7"/>
  <c r="H66" i="7"/>
  <c r="G66" i="7"/>
  <c r="E66" i="7"/>
  <c r="B66" i="7"/>
  <c r="F61" i="7"/>
  <c r="D61" i="7"/>
  <c r="C61" i="7"/>
  <c r="H60" i="7"/>
  <c r="G60" i="7"/>
  <c r="E60" i="7"/>
  <c r="B60" i="7"/>
  <c r="F55" i="7"/>
  <c r="D55" i="7"/>
  <c r="C55" i="7"/>
  <c r="H54" i="7"/>
  <c r="G54" i="7"/>
  <c r="E54" i="7"/>
  <c r="B54" i="7"/>
  <c r="F49" i="7"/>
  <c r="D49" i="7"/>
  <c r="C49" i="7"/>
  <c r="H48" i="7"/>
  <c r="G48" i="7"/>
  <c r="E48" i="7"/>
  <c r="B48" i="7"/>
  <c r="F43" i="7"/>
  <c r="D43" i="7"/>
  <c r="C43" i="7"/>
  <c r="H42" i="7"/>
  <c r="G42" i="7"/>
  <c r="E42" i="7"/>
  <c r="B42" i="7"/>
  <c r="F37" i="7"/>
  <c r="D37" i="7"/>
  <c r="C37" i="7"/>
  <c r="H36" i="7"/>
  <c r="G36" i="7"/>
  <c r="E36" i="7"/>
  <c r="B36" i="7"/>
  <c r="F31" i="7"/>
  <c r="D31" i="7"/>
  <c r="C31" i="7"/>
  <c r="H30" i="7"/>
  <c r="G30" i="7"/>
  <c r="E30" i="7"/>
  <c r="B30" i="7"/>
  <c r="F25" i="7"/>
  <c r="D25" i="7"/>
  <c r="C25" i="7"/>
  <c r="H24" i="7"/>
  <c r="G24" i="7"/>
  <c r="E24" i="7"/>
  <c r="B24" i="7"/>
  <c r="F19" i="7"/>
  <c r="D19" i="7"/>
  <c r="C19" i="7"/>
  <c r="H18" i="7"/>
  <c r="G18" i="7"/>
  <c r="E18" i="7"/>
  <c r="B18" i="7"/>
  <c r="F13" i="7"/>
  <c r="D13" i="7"/>
  <c r="C13" i="7"/>
  <c r="H12" i="7"/>
  <c r="G12" i="7"/>
  <c r="E12" i="7"/>
  <c r="B12" i="7"/>
  <c r="F7" i="7"/>
  <c r="B7" i="2" s="1"/>
  <c r="D7" i="7"/>
  <c r="C7" i="7"/>
  <c r="B7" i="7"/>
  <c r="H6" i="7"/>
  <c r="G6" i="7"/>
  <c r="E6" i="7"/>
  <c r="G5" i="7"/>
  <c r="E5" i="7"/>
  <c r="H5" i="7" s="1"/>
  <c r="G4" i="7"/>
  <c r="E4" i="7"/>
  <c r="F72" i="6"/>
  <c r="D72" i="6"/>
  <c r="C72" i="6"/>
  <c r="H71" i="6"/>
  <c r="G71" i="6"/>
  <c r="E71" i="6"/>
  <c r="B71" i="6"/>
  <c r="F67" i="6"/>
  <c r="D67" i="6"/>
  <c r="C67" i="6"/>
  <c r="H66" i="6"/>
  <c r="G66" i="6"/>
  <c r="E66" i="6"/>
  <c r="B66" i="6"/>
  <c r="H65" i="6"/>
  <c r="G65" i="6"/>
  <c r="E65" i="6"/>
  <c r="B65" i="6"/>
  <c r="F61" i="6"/>
  <c r="D61" i="6"/>
  <c r="C61" i="6"/>
  <c r="H60" i="6"/>
  <c r="G60" i="6"/>
  <c r="E60" i="6"/>
  <c r="B60" i="6"/>
  <c r="H59" i="6"/>
  <c r="G59" i="6"/>
  <c r="E59" i="6"/>
  <c r="B59" i="6"/>
  <c r="F55" i="6"/>
  <c r="D55" i="6"/>
  <c r="C55" i="6"/>
  <c r="H54" i="6"/>
  <c r="G54" i="6"/>
  <c r="E54" i="6"/>
  <c r="B54" i="6"/>
  <c r="H53" i="6"/>
  <c r="G53" i="6"/>
  <c r="E53" i="6"/>
  <c r="B53" i="6"/>
  <c r="F49" i="6"/>
  <c r="D49" i="6"/>
  <c r="C49" i="6"/>
  <c r="H48" i="6"/>
  <c r="G48" i="6"/>
  <c r="E48" i="6"/>
  <c r="B48" i="6"/>
  <c r="H47" i="6"/>
  <c r="G47" i="6"/>
  <c r="E47" i="6"/>
  <c r="B47" i="6"/>
  <c r="F43" i="6"/>
  <c r="D43" i="6"/>
  <c r="C43" i="6"/>
  <c r="H42" i="6"/>
  <c r="G42" i="6"/>
  <c r="E42" i="6"/>
  <c r="B42" i="6"/>
  <c r="H41" i="6"/>
  <c r="G41" i="6"/>
  <c r="E41" i="6"/>
  <c r="B41" i="6"/>
  <c r="F37" i="6"/>
  <c r="D37" i="6"/>
  <c r="C37" i="6"/>
  <c r="H36" i="6"/>
  <c r="G36" i="6"/>
  <c r="E36" i="6"/>
  <c r="B36" i="6"/>
  <c r="H35" i="6"/>
  <c r="G35" i="6"/>
  <c r="E35" i="6"/>
  <c r="B35" i="6"/>
  <c r="F31" i="6"/>
  <c r="D31" i="6"/>
  <c r="C31" i="6"/>
  <c r="H30" i="6"/>
  <c r="G30" i="6"/>
  <c r="E30" i="6"/>
  <c r="B30" i="6"/>
  <c r="H29" i="6"/>
  <c r="G29" i="6"/>
  <c r="E29" i="6"/>
  <c r="B29" i="6"/>
  <c r="F25" i="6"/>
  <c r="D25" i="6"/>
  <c r="C25" i="6"/>
  <c r="H24" i="6"/>
  <c r="G24" i="6"/>
  <c r="E24" i="6"/>
  <c r="B24" i="6"/>
  <c r="H23" i="6"/>
  <c r="G23" i="6"/>
  <c r="E23" i="6"/>
  <c r="B23" i="6"/>
  <c r="F19" i="6"/>
  <c r="D19" i="6"/>
  <c r="C19" i="6"/>
  <c r="H18" i="6"/>
  <c r="G18" i="6"/>
  <c r="E18" i="6"/>
  <c r="B18" i="6"/>
  <c r="H17" i="6"/>
  <c r="G17" i="6"/>
  <c r="E17" i="6"/>
  <c r="B17" i="6"/>
  <c r="F13" i="6"/>
  <c r="D13" i="6"/>
  <c r="C13" i="6"/>
  <c r="H12" i="6"/>
  <c r="G12" i="6"/>
  <c r="E12" i="6"/>
  <c r="B12" i="6"/>
  <c r="H11" i="6"/>
  <c r="G11" i="6"/>
  <c r="E11" i="6"/>
  <c r="B11" i="6"/>
  <c r="F7" i="6"/>
  <c r="D7" i="6"/>
  <c r="C7" i="6"/>
  <c r="B7" i="6"/>
  <c r="H6" i="6"/>
  <c r="G6" i="6"/>
  <c r="E6" i="6"/>
  <c r="H5" i="6"/>
  <c r="G5" i="6"/>
  <c r="E5" i="6"/>
  <c r="G4" i="6"/>
  <c r="G7" i="6" s="1"/>
  <c r="E4" i="6"/>
  <c r="F177" i="3"/>
  <c r="F161" i="3"/>
  <c r="F145" i="3"/>
  <c r="F129" i="3"/>
  <c r="F113" i="3"/>
  <c r="F97" i="3"/>
  <c r="F81" i="3"/>
  <c r="F65" i="3"/>
  <c r="F49" i="3"/>
  <c r="F33" i="3"/>
  <c r="G14" i="3"/>
  <c r="E14" i="3"/>
  <c r="H14" i="3" s="1"/>
  <c r="B30" i="3" s="1"/>
  <c r="G13" i="3"/>
  <c r="E13" i="3"/>
  <c r="H13" i="3" s="1"/>
  <c r="B29" i="3" s="1"/>
  <c r="G12" i="3"/>
  <c r="E12" i="3"/>
  <c r="H12" i="3" s="1"/>
  <c r="B28" i="3" s="1"/>
  <c r="G11" i="3"/>
  <c r="E11" i="3"/>
  <c r="H11" i="3" s="1"/>
  <c r="B27" i="3" s="1"/>
  <c r="G10" i="3"/>
  <c r="E10" i="3"/>
  <c r="H10" i="3" s="1"/>
  <c r="G9" i="3"/>
  <c r="E9" i="3"/>
  <c r="H9" i="3" s="1"/>
  <c r="B25" i="3" s="1"/>
  <c r="G8" i="3"/>
  <c r="E8" i="3"/>
  <c r="H8" i="3" s="1"/>
  <c r="B24" i="3" s="1"/>
  <c r="E24" i="3" s="1"/>
  <c r="G7" i="3"/>
  <c r="E7" i="3"/>
  <c r="H7" i="3" s="1"/>
  <c r="B23" i="3" s="1"/>
  <c r="G6" i="3"/>
  <c r="E6" i="3"/>
  <c r="H6" i="3" s="1"/>
  <c r="B22" i="3" s="1"/>
  <c r="G5" i="3"/>
  <c r="E5" i="3"/>
  <c r="H5" i="3" s="1"/>
  <c r="B21" i="3" s="1"/>
  <c r="G4" i="3"/>
  <c r="E4" i="3"/>
  <c r="H4" i="3" s="1"/>
  <c r="B20" i="3" s="1"/>
  <c r="F109" i="1"/>
  <c r="F100" i="1"/>
  <c r="F91" i="1"/>
  <c r="F82" i="1"/>
  <c r="F73" i="1"/>
  <c r="F64" i="1"/>
  <c r="F55" i="1"/>
  <c r="F46" i="1"/>
  <c r="F37" i="1"/>
  <c r="F28" i="1"/>
  <c r="G27" i="1"/>
  <c r="B27" i="1"/>
  <c r="G26" i="1"/>
  <c r="B26" i="1"/>
  <c r="G25" i="1"/>
  <c r="F19" i="1"/>
  <c r="H18" i="1"/>
  <c r="G18" i="1"/>
  <c r="E18" i="1"/>
  <c r="B18" i="1"/>
  <c r="H17" i="1"/>
  <c r="G17" i="1"/>
  <c r="E17" i="1"/>
  <c r="B17" i="1"/>
  <c r="F10" i="1"/>
  <c r="B10" i="1"/>
  <c r="H9" i="1"/>
  <c r="G9" i="1"/>
  <c r="E9" i="1"/>
  <c r="H8" i="1"/>
  <c r="G8" i="1"/>
  <c r="E8" i="1"/>
  <c r="G7" i="1"/>
  <c r="E7" i="1"/>
  <c r="H7" i="1" s="1"/>
  <c r="G6" i="1"/>
  <c r="E6" i="1"/>
  <c r="H6" i="1" s="1"/>
  <c r="G5" i="1"/>
  <c r="E5" i="1"/>
  <c r="H5" i="1" s="1"/>
  <c r="G4" i="1"/>
  <c r="E4" i="1"/>
  <c r="H4" i="1" s="1"/>
  <c r="M56" i="2"/>
  <c r="L56" i="2"/>
  <c r="K56" i="2"/>
  <c r="J56" i="2"/>
  <c r="I56" i="2"/>
  <c r="H56" i="2"/>
  <c r="G56" i="2"/>
  <c r="F56" i="2"/>
  <c r="E56" i="2"/>
  <c r="C56" i="2"/>
  <c r="B56" i="2"/>
  <c r="B55" i="2"/>
  <c r="B54" i="2"/>
  <c r="B53" i="2"/>
  <c r="B52" i="2"/>
  <c r="C51" i="2"/>
  <c r="B51" i="2"/>
  <c r="M46" i="2"/>
  <c r="L46" i="2"/>
  <c r="K46" i="2"/>
  <c r="J46" i="2"/>
  <c r="I46" i="2"/>
  <c r="H46" i="2"/>
  <c r="G46" i="2"/>
  <c r="F46" i="2"/>
  <c r="E46" i="2"/>
  <c r="D46" i="2"/>
  <c r="C46" i="2"/>
  <c r="B46" i="2"/>
  <c r="B45" i="2"/>
  <c r="M40" i="2"/>
  <c r="L40" i="2"/>
  <c r="K40" i="2"/>
  <c r="J40" i="2"/>
  <c r="I40" i="2"/>
  <c r="H40" i="2"/>
  <c r="G40" i="2"/>
  <c r="F40" i="2"/>
  <c r="E40" i="2"/>
  <c r="D40" i="2"/>
  <c r="C40" i="2"/>
  <c r="B40" i="2"/>
  <c r="L39" i="2"/>
  <c r="K39" i="2"/>
  <c r="J39" i="2"/>
  <c r="I39" i="2"/>
  <c r="H39" i="2"/>
  <c r="G39" i="2"/>
  <c r="F39" i="2"/>
  <c r="E39" i="2"/>
  <c r="D39" i="2"/>
  <c r="C39" i="2"/>
  <c r="B39" i="2"/>
  <c r="B21" i="2"/>
  <c r="D16" i="2"/>
  <c r="C16" i="2"/>
  <c r="B16" i="2"/>
  <c r="D15" i="2"/>
  <c r="C15" i="2"/>
  <c r="B15" i="2"/>
  <c r="B14" i="2"/>
  <c r="B13" i="2"/>
  <c r="B12" i="2"/>
  <c r="B11" i="2"/>
  <c r="B17" i="2" s="1"/>
  <c r="M7" i="2"/>
  <c r="L7" i="2"/>
  <c r="K7" i="2"/>
  <c r="J7" i="2"/>
  <c r="I7" i="2"/>
  <c r="H7" i="2"/>
  <c r="G7" i="2"/>
  <c r="F7" i="2"/>
  <c r="E7" i="2"/>
  <c r="D7" i="2"/>
  <c r="B30" i="8" l="1"/>
  <c r="C55" i="2"/>
  <c r="B29" i="8"/>
  <c r="C54" i="2"/>
  <c r="B28" i="8"/>
  <c r="C53" i="2"/>
  <c r="B27" i="8"/>
  <c r="C52" i="2"/>
  <c r="C7" i="2"/>
  <c r="B26" i="8"/>
  <c r="B25" i="8"/>
  <c r="B26" i="3"/>
  <c r="B27" i="2"/>
  <c r="B34" i="2" s="1"/>
  <c r="B11" i="7"/>
  <c r="B32" i="8"/>
  <c r="G26" i="8"/>
  <c r="E26" i="8"/>
  <c r="H26" i="8" s="1"/>
  <c r="G27" i="8"/>
  <c r="E27" i="8"/>
  <c r="H27" i="8" s="1"/>
  <c r="G28" i="8"/>
  <c r="E28" i="8"/>
  <c r="H28" i="8" s="1"/>
  <c r="G29" i="8"/>
  <c r="E29" i="8"/>
  <c r="H29" i="8" s="1"/>
  <c r="G30" i="8"/>
  <c r="E30" i="8"/>
  <c r="H30" i="8" s="1"/>
  <c r="C50" i="2"/>
  <c r="H22" i="8"/>
  <c r="G20" i="3"/>
  <c r="E20" i="3"/>
  <c r="H20" i="3" s="1"/>
  <c r="G21" i="3"/>
  <c r="E21" i="3"/>
  <c r="H21" i="3" s="1"/>
  <c r="G22" i="3"/>
  <c r="E22" i="3"/>
  <c r="H22" i="3" s="1"/>
  <c r="G23" i="3"/>
  <c r="E23" i="3"/>
  <c r="H23" i="3" s="1"/>
  <c r="G24" i="3"/>
  <c r="H24" i="3"/>
  <c r="G25" i="3"/>
  <c r="E25" i="3"/>
  <c r="H25" i="3" s="1"/>
  <c r="G26" i="3"/>
  <c r="E26" i="3"/>
  <c r="H26" i="3" s="1"/>
  <c r="G27" i="3"/>
  <c r="E27" i="3"/>
  <c r="H27" i="3" s="1"/>
  <c r="G28" i="3"/>
  <c r="E28" i="3"/>
  <c r="H28" i="3" s="1"/>
  <c r="G29" i="3"/>
  <c r="E29" i="3"/>
  <c r="H29" i="3" s="1"/>
  <c r="G30" i="3"/>
  <c r="E30" i="3"/>
  <c r="H30" i="3" s="1"/>
  <c r="G36" i="1"/>
  <c r="E36" i="1"/>
  <c r="H36" i="1" s="1"/>
  <c r="E12" i="8"/>
  <c r="H5" i="8"/>
  <c r="B50" i="2" s="1"/>
  <c r="B57" i="2" s="1"/>
  <c r="H12" i="8"/>
  <c r="G11" i="7"/>
  <c r="E11" i="7"/>
  <c r="H11" i="7" s="1"/>
  <c r="E7" i="6"/>
  <c r="H4" i="6"/>
  <c r="H17" i="3"/>
  <c r="B15" i="1"/>
  <c r="B14" i="1"/>
  <c r="B16" i="1"/>
  <c r="G16" i="1"/>
  <c r="E16" i="1"/>
  <c r="H16" i="1" s="1"/>
  <c r="G15" i="1"/>
  <c r="E15" i="1"/>
  <c r="H15" i="1" s="1"/>
  <c r="G14" i="1"/>
  <c r="E14" i="1"/>
  <c r="H14" i="1" s="1"/>
  <c r="B13" i="1"/>
  <c r="H10" i="1"/>
  <c r="E7" i="7"/>
  <c r="H4" i="7"/>
  <c r="D55" i="2" l="1"/>
  <c r="B40" i="8"/>
  <c r="C57" i="2"/>
  <c r="D54" i="2"/>
  <c r="B39" i="8"/>
  <c r="D53" i="2"/>
  <c r="B38" i="8"/>
  <c r="D51" i="2"/>
  <c r="B36" i="8"/>
  <c r="E25" i="8"/>
  <c r="H25" i="8" s="1"/>
  <c r="B35" i="8" s="1"/>
  <c r="G25" i="8"/>
  <c r="B43" i="3"/>
  <c r="C28" i="2"/>
  <c r="B42" i="3"/>
  <c r="C27" i="2"/>
  <c r="B41" i="3"/>
  <c r="C26" i="2"/>
  <c r="B40" i="3"/>
  <c r="C25" i="2"/>
  <c r="B39" i="3"/>
  <c r="C24" i="2"/>
  <c r="B38" i="3"/>
  <c r="C23" i="2"/>
  <c r="B37" i="3"/>
  <c r="C22" i="2"/>
  <c r="B36" i="3"/>
  <c r="B44" i="3"/>
  <c r="C29" i="2"/>
  <c r="D52" i="2"/>
  <c r="B37" i="8"/>
  <c r="B45" i="3"/>
  <c r="C30" i="2"/>
  <c r="B46" i="3"/>
  <c r="C31" i="2"/>
  <c r="G32" i="8"/>
  <c r="E32" i="8"/>
  <c r="G46" i="3"/>
  <c r="E46" i="3"/>
  <c r="H46" i="3" s="1"/>
  <c r="G45" i="3"/>
  <c r="E45" i="3"/>
  <c r="H45" i="3" s="1"/>
  <c r="G43" i="3"/>
  <c r="E43" i="3"/>
  <c r="H43" i="3" s="1"/>
  <c r="G42" i="3"/>
  <c r="E42" i="3"/>
  <c r="H42" i="3" s="1"/>
  <c r="G41" i="3"/>
  <c r="E41" i="3"/>
  <c r="H41" i="3" s="1"/>
  <c r="G40" i="3"/>
  <c r="E40" i="3"/>
  <c r="H40" i="3" s="1"/>
  <c r="G39" i="3"/>
  <c r="E39" i="3"/>
  <c r="H39" i="3" s="1"/>
  <c r="G38" i="3"/>
  <c r="E38" i="3"/>
  <c r="H38" i="3" s="1"/>
  <c r="G37" i="3"/>
  <c r="E37" i="3"/>
  <c r="H37" i="3" s="1"/>
  <c r="G36" i="3"/>
  <c r="E36" i="3"/>
  <c r="H36" i="3" s="1"/>
  <c r="B52" i="3" s="1"/>
  <c r="B45" i="1"/>
  <c r="E16" i="2"/>
  <c r="G35" i="1"/>
  <c r="E35" i="1"/>
  <c r="H35" i="1" s="1"/>
  <c r="B17" i="7"/>
  <c r="C45" i="2"/>
  <c r="B10" i="6"/>
  <c r="H7" i="6"/>
  <c r="B38" i="2"/>
  <c r="B41" i="2" s="1"/>
  <c r="B25" i="1"/>
  <c r="E25" i="1" s="1"/>
  <c r="H25" i="1" s="1"/>
  <c r="C14" i="2"/>
  <c r="B24" i="1"/>
  <c r="E24" i="1" s="1"/>
  <c r="H24" i="1" s="1"/>
  <c r="B33" i="1" s="1"/>
  <c r="C13" i="2"/>
  <c r="B23" i="1"/>
  <c r="E23" i="1" s="1"/>
  <c r="H23" i="1" s="1"/>
  <c r="B32" i="1" s="1"/>
  <c r="C12" i="2"/>
  <c r="B19" i="1"/>
  <c r="G13" i="1"/>
  <c r="E13" i="1"/>
  <c r="H13" i="1" s="1"/>
  <c r="B10" i="7"/>
  <c r="H7" i="7"/>
  <c r="B44" i="2"/>
  <c r="B47" i="2" s="1"/>
  <c r="B3" i="2" s="1"/>
  <c r="B33" i="3"/>
  <c r="D14" i="2" l="1"/>
  <c r="B34" i="1"/>
  <c r="E40" i="8"/>
  <c r="H40" i="8" s="1"/>
  <c r="G40" i="8"/>
  <c r="E39" i="8"/>
  <c r="H39" i="8" s="1"/>
  <c r="G39" i="8"/>
  <c r="G38" i="8"/>
  <c r="E38" i="8"/>
  <c r="H38" i="8" s="1"/>
  <c r="E36" i="8"/>
  <c r="H36" i="8" s="1"/>
  <c r="G36" i="8"/>
  <c r="G35" i="8"/>
  <c r="E35" i="8"/>
  <c r="H35" i="8" s="1"/>
  <c r="G44" i="3"/>
  <c r="E44" i="3"/>
  <c r="H44" i="3" s="1"/>
  <c r="B59" i="3"/>
  <c r="D28" i="2"/>
  <c r="B58" i="3"/>
  <c r="D27" i="2"/>
  <c r="B57" i="3"/>
  <c r="D26" i="2"/>
  <c r="B56" i="3"/>
  <c r="D25" i="2"/>
  <c r="B55" i="3"/>
  <c r="D24" i="2"/>
  <c r="B54" i="3"/>
  <c r="D23" i="2"/>
  <c r="B53" i="3"/>
  <c r="D22" i="2"/>
  <c r="G37" i="8"/>
  <c r="E37" i="8"/>
  <c r="B42" i="8"/>
  <c r="B61" i="3"/>
  <c r="D30" i="2"/>
  <c r="B62" i="3"/>
  <c r="D31" i="2"/>
  <c r="H32" i="8"/>
  <c r="D50" i="2"/>
  <c r="D57" i="2" s="1"/>
  <c r="G52" i="3"/>
  <c r="E52" i="3"/>
  <c r="H52" i="3" s="1"/>
  <c r="B68" i="3" s="1"/>
  <c r="G53" i="3"/>
  <c r="E53" i="3"/>
  <c r="H53" i="3" s="1"/>
  <c r="G54" i="3"/>
  <c r="E54" i="3"/>
  <c r="H54" i="3" s="1"/>
  <c r="G55" i="3"/>
  <c r="E55" i="3"/>
  <c r="H55" i="3" s="1"/>
  <c r="G56" i="3"/>
  <c r="E56" i="3"/>
  <c r="H56" i="3" s="1"/>
  <c r="G59" i="3"/>
  <c r="E59" i="3"/>
  <c r="H59" i="3" s="1"/>
  <c r="G61" i="3"/>
  <c r="E61" i="3"/>
  <c r="H61" i="3" s="1"/>
  <c r="G62" i="3"/>
  <c r="E62" i="3"/>
  <c r="H62" i="3" s="1"/>
  <c r="B44" i="1"/>
  <c r="E15" i="2"/>
  <c r="G45" i="1"/>
  <c r="E45" i="1"/>
  <c r="H45" i="1" s="1"/>
  <c r="G17" i="7"/>
  <c r="E17" i="7"/>
  <c r="H17" i="7" s="1"/>
  <c r="B13" i="6"/>
  <c r="G10" i="6"/>
  <c r="G13" i="6" s="1"/>
  <c r="E10" i="6"/>
  <c r="C21" i="2"/>
  <c r="G24" i="1"/>
  <c r="G23" i="1"/>
  <c r="B22" i="1"/>
  <c r="H19" i="1"/>
  <c r="C11" i="2"/>
  <c r="C17" i="2" s="1"/>
  <c r="B13" i="7"/>
  <c r="G10" i="7"/>
  <c r="E10" i="7"/>
  <c r="E34" i="1" l="1"/>
  <c r="H34" i="1" s="1"/>
  <c r="G34" i="1"/>
  <c r="E55" i="2"/>
  <c r="B50" i="8"/>
  <c r="E54" i="2"/>
  <c r="B49" i="8"/>
  <c r="G42" i="8"/>
  <c r="E53" i="2"/>
  <c r="B48" i="8"/>
  <c r="E51" i="2"/>
  <c r="B46" i="8"/>
  <c r="E50" i="2"/>
  <c r="B45" i="8"/>
  <c r="G58" i="3"/>
  <c r="E58" i="3"/>
  <c r="H58" i="3" s="1"/>
  <c r="E57" i="3"/>
  <c r="H57" i="3" s="1"/>
  <c r="G57" i="3"/>
  <c r="B60" i="3"/>
  <c r="B65" i="3" s="1"/>
  <c r="D29" i="2"/>
  <c r="B75" i="3"/>
  <c r="E28" i="2"/>
  <c r="B73" i="3"/>
  <c r="E26" i="2"/>
  <c r="B72" i="3"/>
  <c r="E25" i="2"/>
  <c r="B71" i="3"/>
  <c r="E24" i="2"/>
  <c r="B70" i="3"/>
  <c r="E23" i="2"/>
  <c r="B69" i="3"/>
  <c r="E22" i="2"/>
  <c r="G60" i="3"/>
  <c r="E60" i="3"/>
  <c r="H60" i="3" s="1"/>
  <c r="H37" i="8"/>
  <c r="E42" i="8"/>
  <c r="B77" i="3"/>
  <c r="E30" i="2"/>
  <c r="B78" i="3"/>
  <c r="E31" i="2"/>
  <c r="G78" i="3"/>
  <c r="E78" i="3"/>
  <c r="H78" i="3" s="1"/>
  <c r="G77" i="3"/>
  <c r="E77" i="3"/>
  <c r="H77" i="3" s="1"/>
  <c r="B93" i="3" s="1"/>
  <c r="G75" i="3"/>
  <c r="E75" i="3"/>
  <c r="H75" i="3" s="1"/>
  <c r="B91" i="3" s="1"/>
  <c r="G72" i="3"/>
  <c r="E72" i="3"/>
  <c r="H72" i="3" s="1"/>
  <c r="B88" i="3" s="1"/>
  <c r="G71" i="3"/>
  <c r="E71" i="3"/>
  <c r="H71" i="3" s="1"/>
  <c r="B87" i="3" s="1"/>
  <c r="G70" i="3"/>
  <c r="E70" i="3"/>
  <c r="H70" i="3" s="1"/>
  <c r="B86" i="3" s="1"/>
  <c r="G69" i="3"/>
  <c r="E69" i="3"/>
  <c r="H69" i="3" s="1"/>
  <c r="B85" i="3" s="1"/>
  <c r="G68" i="3"/>
  <c r="E68" i="3"/>
  <c r="H68" i="3" s="1"/>
  <c r="B84" i="3" s="1"/>
  <c r="B54" i="1"/>
  <c r="F16" i="2"/>
  <c r="G44" i="1"/>
  <c r="E44" i="1"/>
  <c r="H44" i="1" s="1"/>
  <c r="B23" i="7"/>
  <c r="D45" i="2"/>
  <c r="E13" i="6"/>
  <c r="H10" i="6"/>
  <c r="D13" i="2"/>
  <c r="D12" i="2"/>
  <c r="B28" i="1"/>
  <c r="G22" i="1"/>
  <c r="E22" i="1"/>
  <c r="H22" i="1" s="1"/>
  <c r="E13" i="7"/>
  <c r="H10" i="7"/>
  <c r="H33" i="3"/>
  <c r="B74" i="3" l="1"/>
  <c r="E27" i="2"/>
  <c r="E14" i="2"/>
  <c r="B43" i="1"/>
  <c r="E50" i="8"/>
  <c r="H50" i="8" s="1"/>
  <c r="G50" i="8"/>
  <c r="E49" i="8"/>
  <c r="H49" i="8" s="1"/>
  <c r="G49" i="8"/>
  <c r="G48" i="8"/>
  <c r="E48" i="8"/>
  <c r="H48" i="8" s="1"/>
  <c r="E46" i="8"/>
  <c r="H46" i="8" s="1"/>
  <c r="G46" i="8"/>
  <c r="E45" i="8"/>
  <c r="H45" i="8" s="1"/>
  <c r="G45" i="8"/>
  <c r="E73" i="3"/>
  <c r="H73" i="3" s="1"/>
  <c r="B89" i="3" s="1"/>
  <c r="G73" i="3"/>
  <c r="B94" i="3"/>
  <c r="F31" i="2"/>
  <c r="B76" i="3"/>
  <c r="E29" i="2"/>
  <c r="H65" i="3"/>
  <c r="E76" i="3"/>
  <c r="H76" i="3" s="1"/>
  <c r="B92" i="3" s="1"/>
  <c r="G76" i="3"/>
  <c r="B47" i="8"/>
  <c r="H42" i="8"/>
  <c r="E52" i="2"/>
  <c r="E57" i="2" s="1"/>
  <c r="G84" i="3"/>
  <c r="E84" i="3"/>
  <c r="H84" i="3" s="1"/>
  <c r="B100" i="3" s="1"/>
  <c r="G85" i="3"/>
  <c r="E85" i="3"/>
  <c r="H85" i="3" s="1"/>
  <c r="B101" i="3" s="1"/>
  <c r="G86" i="3"/>
  <c r="E86" i="3"/>
  <c r="H86" i="3" s="1"/>
  <c r="B102" i="3" s="1"/>
  <c r="G87" i="3"/>
  <c r="E87" i="3"/>
  <c r="H87" i="3" s="1"/>
  <c r="B103" i="3" s="1"/>
  <c r="G88" i="3"/>
  <c r="E88" i="3"/>
  <c r="H88" i="3" s="1"/>
  <c r="B104" i="3" s="1"/>
  <c r="G89" i="3"/>
  <c r="E89" i="3"/>
  <c r="H89" i="3" s="1"/>
  <c r="B105" i="3" s="1"/>
  <c r="G91" i="3"/>
  <c r="E91" i="3"/>
  <c r="H91" i="3" s="1"/>
  <c r="B107" i="3" s="1"/>
  <c r="G92" i="3"/>
  <c r="E92" i="3"/>
  <c r="H92" i="3" s="1"/>
  <c r="B108" i="3" s="1"/>
  <c r="G93" i="3"/>
  <c r="E93" i="3"/>
  <c r="H93" i="3" s="1"/>
  <c r="B109" i="3" s="1"/>
  <c r="G94" i="3"/>
  <c r="E94" i="3"/>
  <c r="H94" i="3" s="1"/>
  <c r="B110" i="3" s="1"/>
  <c r="B53" i="1"/>
  <c r="F15" i="2"/>
  <c r="G54" i="1"/>
  <c r="E54" i="1"/>
  <c r="H54" i="1" s="1"/>
  <c r="G23" i="7"/>
  <c r="E23" i="7"/>
  <c r="H23" i="7" s="1"/>
  <c r="B16" i="6"/>
  <c r="H13" i="6"/>
  <c r="C38" i="2"/>
  <c r="C41" i="2" s="1"/>
  <c r="D21" i="2"/>
  <c r="G33" i="1"/>
  <c r="E33" i="1"/>
  <c r="H33" i="1" s="1"/>
  <c r="G32" i="1"/>
  <c r="E32" i="1"/>
  <c r="H32" i="1" s="1"/>
  <c r="B31" i="1"/>
  <c r="H28" i="1"/>
  <c r="D11" i="2"/>
  <c r="D17" i="2" s="1"/>
  <c r="B16" i="7"/>
  <c r="H13" i="7"/>
  <c r="C44" i="2"/>
  <c r="C47" i="2" s="1"/>
  <c r="B49" i="3"/>
  <c r="C34" i="2"/>
  <c r="E74" i="3" l="1"/>
  <c r="H74" i="3" s="1"/>
  <c r="B90" i="3" s="1"/>
  <c r="G74" i="3"/>
  <c r="E43" i="1"/>
  <c r="H43" i="1" s="1"/>
  <c r="G43" i="1"/>
  <c r="F55" i="2"/>
  <c r="B60" i="8"/>
  <c r="F54" i="2"/>
  <c r="B59" i="8"/>
  <c r="F53" i="2"/>
  <c r="B58" i="8"/>
  <c r="F51" i="2"/>
  <c r="B56" i="8"/>
  <c r="F50" i="2"/>
  <c r="B55" i="8"/>
  <c r="G47" i="8"/>
  <c r="G52" i="8" s="1"/>
  <c r="E47" i="8"/>
  <c r="B52" i="8"/>
  <c r="C3" i="2"/>
  <c r="G110" i="3"/>
  <c r="E110" i="3"/>
  <c r="H110" i="3" s="1"/>
  <c r="B126" i="3" s="1"/>
  <c r="G109" i="3"/>
  <c r="E109" i="3"/>
  <c r="H109" i="3" s="1"/>
  <c r="B125" i="3" s="1"/>
  <c r="G108" i="3"/>
  <c r="E108" i="3"/>
  <c r="H108" i="3" s="1"/>
  <c r="B124" i="3" s="1"/>
  <c r="G107" i="3"/>
  <c r="E107" i="3"/>
  <c r="H107" i="3" s="1"/>
  <c r="B123" i="3" s="1"/>
  <c r="G105" i="3"/>
  <c r="E105" i="3"/>
  <c r="H105" i="3" s="1"/>
  <c r="B121" i="3" s="1"/>
  <c r="G104" i="3"/>
  <c r="E104" i="3"/>
  <c r="H104" i="3" s="1"/>
  <c r="B120" i="3" s="1"/>
  <c r="G103" i="3"/>
  <c r="E103" i="3"/>
  <c r="H103" i="3" s="1"/>
  <c r="B119" i="3" s="1"/>
  <c r="G102" i="3"/>
  <c r="E102" i="3"/>
  <c r="H102" i="3" s="1"/>
  <c r="B118" i="3" s="1"/>
  <c r="G101" i="3"/>
  <c r="E101" i="3"/>
  <c r="H101" i="3" s="1"/>
  <c r="B117" i="3" s="1"/>
  <c r="G100" i="3"/>
  <c r="E100" i="3"/>
  <c r="H100" i="3" s="1"/>
  <c r="B116" i="3" s="1"/>
  <c r="G31" i="2"/>
  <c r="B63" i="1"/>
  <c r="G16" i="2"/>
  <c r="G53" i="1"/>
  <c r="E53" i="1"/>
  <c r="H53" i="1" s="1"/>
  <c r="B29" i="7"/>
  <c r="E45" i="2"/>
  <c r="B19" i="6"/>
  <c r="G16" i="6"/>
  <c r="G19" i="6" s="1"/>
  <c r="E16" i="6"/>
  <c r="B42" i="1"/>
  <c r="E13" i="2"/>
  <c r="B41" i="1"/>
  <c r="E12" i="2"/>
  <c r="B37" i="1"/>
  <c r="G31" i="1"/>
  <c r="E31" i="1"/>
  <c r="H31" i="1" s="1"/>
  <c r="B19" i="7"/>
  <c r="G16" i="7"/>
  <c r="G19" i="7" s="1"/>
  <c r="E16" i="7"/>
  <c r="H49" i="3"/>
  <c r="D34" i="2"/>
  <c r="G90" i="3" l="1"/>
  <c r="E90" i="3"/>
  <c r="H90" i="3" s="1"/>
  <c r="B106" i="3" s="1"/>
  <c r="F14" i="2"/>
  <c r="B52" i="1"/>
  <c r="E60" i="8"/>
  <c r="H60" i="8" s="1"/>
  <c r="G60" i="8"/>
  <c r="E59" i="8"/>
  <c r="H59" i="8" s="1"/>
  <c r="G59" i="8"/>
  <c r="G58" i="8"/>
  <c r="E58" i="8"/>
  <c r="H58" i="8" s="1"/>
  <c r="E56" i="8"/>
  <c r="H56" i="8" s="1"/>
  <c r="G56" i="8"/>
  <c r="G55" i="8"/>
  <c r="E55" i="8"/>
  <c r="H55" i="8" s="1"/>
  <c r="H47" i="8"/>
  <c r="E52" i="8"/>
  <c r="G116" i="3"/>
  <c r="E116" i="3"/>
  <c r="H116" i="3" s="1"/>
  <c r="B132" i="3" s="1"/>
  <c r="G117" i="3"/>
  <c r="E117" i="3"/>
  <c r="H117" i="3" s="1"/>
  <c r="B133" i="3" s="1"/>
  <c r="G118" i="3"/>
  <c r="E118" i="3"/>
  <c r="H118" i="3" s="1"/>
  <c r="B134" i="3" s="1"/>
  <c r="G119" i="3"/>
  <c r="E119" i="3"/>
  <c r="H119" i="3" s="1"/>
  <c r="B135" i="3" s="1"/>
  <c r="G120" i="3"/>
  <c r="E120" i="3"/>
  <c r="H120" i="3" s="1"/>
  <c r="B136" i="3" s="1"/>
  <c r="G121" i="3"/>
  <c r="E121" i="3"/>
  <c r="H121" i="3" s="1"/>
  <c r="B137" i="3" s="1"/>
  <c r="G123" i="3"/>
  <c r="E123" i="3"/>
  <c r="H123" i="3" s="1"/>
  <c r="B139" i="3" s="1"/>
  <c r="G124" i="3"/>
  <c r="E124" i="3"/>
  <c r="H124" i="3" s="1"/>
  <c r="B140" i="3" s="1"/>
  <c r="G125" i="3"/>
  <c r="E125" i="3"/>
  <c r="H125" i="3" s="1"/>
  <c r="B141" i="3" s="1"/>
  <c r="G126" i="3"/>
  <c r="E126" i="3"/>
  <c r="H126" i="3" s="1"/>
  <c r="B142" i="3" s="1"/>
  <c r="B62" i="1"/>
  <c r="G15" i="2"/>
  <c r="G63" i="1"/>
  <c r="E63" i="1"/>
  <c r="H63" i="1" s="1"/>
  <c r="G29" i="7"/>
  <c r="E29" i="7"/>
  <c r="H29" i="7" s="1"/>
  <c r="E19" i="6"/>
  <c r="H16" i="6"/>
  <c r="E21" i="2"/>
  <c r="G42" i="1"/>
  <c r="E42" i="1"/>
  <c r="H42" i="1" s="1"/>
  <c r="G41" i="1"/>
  <c r="E41" i="1"/>
  <c r="H41" i="1" s="1"/>
  <c r="B40" i="1"/>
  <c r="H37" i="1"/>
  <c r="E11" i="2"/>
  <c r="E17" i="2" s="1"/>
  <c r="E19" i="7"/>
  <c r="H16" i="7"/>
  <c r="E106" i="3" l="1"/>
  <c r="H106" i="3" s="1"/>
  <c r="B122" i="3" s="1"/>
  <c r="G106" i="3"/>
  <c r="E52" i="1"/>
  <c r="H52" i="1" s="1"/>
  <c r="G52" i="1"/>
  <c r="G55" i="2"/>
  <c r="B70" i="8"/>
  <c r="G54" i="2"/>
  <c r="B69" i="8"/>
  <c r="G53" i="2"/>
  <c r="B68" i="8"/>
  <c r="G51" i="2"/>
  <c r="B66" i="8"/>
  <c r="G50" i="2"/>
  <c r="B65" i="8"/>
  <c r="B57" i="8"/>
  <c r="H52" i="8"/>
  <c r="F52" i="2"/>
  <c r="F57" i="2" s="1"/>
  <c r="G142" i="3"/>
  <c r="E142" i="3"/>
  <c r="H142" i="3" s="1"/>
  <c r="B158" i="3" s="1"/>
  <c r="G141" i="3"/>
  <c r="E141" i="3"/>
  <c r="H141" i="3" s="1"/>
  <c r="B157" i="3" s="1"/>
  <c r="G140" i="3"/>
  <c r="E140" i="3"/>
  <c r="H140" i="3" s="1"/>
  <c r="B156" i="3" s="1"/>
  <c r="G139" i="3"/>
  <c r="E139" i="3"/>
  <c r="H139" i="3" s="1"/>
  <c r="B155" i="3" s="1"/>
  <c r="G137" i="3"/>
  <c r="E137" i="3"/>
  <c r="H137" i="3" s="1"/>
  <c r="B153" i="3" s="1"/>
  <c r="G136" i="3"/>
  <c r="E136" i="3"/>
  <c r="H136" i="3" s="1"/>
  <c r="B152" i="3" s="1"/>
  <c r="G135" i="3"/>
  <c r="E135" i="3"/>
  <c r="H135" i="3" s="1"/>
  <c r="B151" i="3" s="1"/>
  <c r="G134" i="3"/>
  <c r="E134" i="3"/>
  <c r="H134" i="3" s="1"/>
  <c r="B150" i="3" s="1"/>
  <c r="G133" i="3"/>
  <c r="E133" i="3"/>
  <c r="H133" i="3" s="1"/>
  <c r="B149" i="3" s="1"/>
  <c r="G132" i="3"/>
  <c r="E132" i="3"/>
  <c r="H132" i="3" s="1"/>
  <c r="B148" i="3" s="1"/>
  <c r="H31" i="2"/>
  <c r="B72" i="1"/>
  <c r="H16" i="2"/>
  <c r="G62" i="1"/>
  <c r="E62" i="1"/>
  <c r="H62" i="1" s="1"/>
  <c r="B35" i="7"/>
  <c r="F45" i="2"/>
  <c r="B22" i="6"/>
  <c r="H19" i="6"/>
  <c r="D38" i="2"/>
  <c r="D41" i="2" s="1"/>
  <c r="F24" i="2"/>
  <c r="F26" i="2"/>
  <c r="B51" i="1"/>
  <c r="F13" i="2"/>
  <c r="B50" i="1"/>
  <c r="F12" i="2"/>
  <c r="B46" i="1"/>
  <c r="G40" i="1"/>
  <c r="E40" i="1"/>
  <c r="H40" i="1" s="1"/>
  <c r="B22" i="7"/>
  <c r="H19" i="7"/>
  <c r="D44" i="2"/>
  <c r="D47" i="2" s="1"/>
  <c r="E34" i="2"/>
  <c r="E122" i="3" l="1"/>
  <c r="H122" i="3" s="1"/>
  <c r="B138" i="3" s="1"/>
  <c r="G122" i="3"/>
  <c r="G14" i="2"/>
  <c r="B61" i="1"/>
  <c r="D3" i="2"/>
  <c r="E70" i="8"/>
  <c r="H70" i="8" s="1"/>
  <c r="G70" i="8"/>
  <c r="E69" i="8"/>
  <c r="H69" i="8" s="1"/>
  <c r="G69" i="8"/>
  <c r="E68" i="8"/>
  <c r="H68" i="8" s="1"/>
  <c r="G68" i="8"/>
  <c r="E66" i="8"/>
  <c r="H66" i="8" s="1"/>
  <c r="G66" i="8"/>
  <c r="E65" i="8"/>
  <c r="H65" i="8" s="1"/>
  <c r="G65" i="8"/>
  <c r="G57" i="8"/>
  <c r="G62" i="8" s="1"/>
  <c r="E57" i="8"/>
  <c r="B62" i="8"/>
  <c r="G148" i="3"/>
  <c r="E148" i="3"/>
  <c r="H148" i="3" s="1"/>
  <c r="B164" i="3" s="1"/>
  <c r="G149" i="3"/>
  <c r="E149" i="3"/>
  <c r="H149" i="3" s="1"/>
  <c r="B165" i="3" s="1"/>
  <c r="G150" i="3"/>
  <c r="E150" i="3"/>
  <c r="H150" i="3" s="1"/>
  <c r="B166" i="3" s="1"/>
  <c r="G151" i="3"/>
  <c r="E151" i="3"/>
  <c r="H151" i="3" s="1"/>
  <c r="B167" i="3" s="1"/>
  <c r="G152" i="3"/>
  <c r="E152" i="3"/>
  <c r="H152" i="3" s="1"/>
  <c r="B168" i="3" s="1"/>
  <c r="G153" i="3"/>
  <c r="E153" i="3"/>
  <c r="H153" i="3" s="1"/>
  <c r="B169" i="3" s="1"/>
  <c r="G155" i="3"/>
  <c r="E155" i="3"/>
  <c r="H155" i="3" s="1"/>
  <c r="B171" i="3" s="1"/>
  <c r="G156" i="3"/>
  <c r="E156" i="3"/>
  <c r="H156" i="3" s="1"/>
  <c r="B172" i="3" s="1"/>
  <c r="G157" i="3"/>
  <c r="E157" i="3"/>
  <c r="H157" i="3" s="1"/>
  <c r="B173" i="3" s="1"/>
  <c r="G158" i="3"/>
  <c r="E158" i="3"/>
  <c r="H158" i="3" s="1"/>
  <c r="B174" i="3" s="1"/>
  <c r="B71" i="1"/>
  <c r="H15" i="2"/>
  <c r="G72" i="1"/>
  <c r="E72" i="1"/>
  <c r="H72" i="1" s="1"/>
  <c r="G35" i="7"/>
  <c r="E35" i="7"/>
  <c r="H35" i="7" s="1"/>
  <c r="B25" i="6"/>
  <c r="G22" i="6"/>
  <c r="G25" i="6" s="1"/>
  <c r="E22" i="6"/>
  <c r="F21" i="2"/>
  <c r="F23" i="2"/>
  <c r="F28" i="2"/>
  <c r="F27" i="2"/>
  <c r="F25" i="2"/>
  <c r="F22" i="2"/>
  <c r="G51" i="1"/>
  <c r="E51" i="1"/>
  <c r="H51" i="1" s="1"/>
  <c r="G50" i="1"/>
  <c r="E50" i="1"/>
  <c r="H50" i="1" s="1"/>
  <c r="B49" i="1"/>
  <c r="H46" i="1"/>
  <c r="F11" i="2"/>
  <c r="F17" i="2" s="1"/>
  <c r="B25" i="7"/>
  <c r="G22" i="7"/>
  <c r="G25" i="7" s="1"/>
  <c r="E22" i="7"/>
  <c r="B81" i="3"/>
  <c r="G138" i="3" l="1"/>
  <c r="E138" i="3"/>
  <c r="H138" i="3" s="1"/>
  <c r="B154" i="3" s="1"/>
  <c r="G61" i="1"/>
  <c r="E61" i="1"/>
  <c r="H61" i="1" s="1"/>
  <c r="H55" i="2"/>
  <c r="B80" i="8"/>
  <c r="H54" i="2"/>
  <c r="B79" i="8"/>
  <c r="H53" i="2"/>
  <c r="B78" i="8"/>
  <c r="H51" i="2"/>
  <c r="B76" i="8"/>
  <c r="H50" i="2"/>
  <c r="B75" i="8"/>
  <c r="H57" i="8"/>
  <c r="E62" i="8"/>
  <c r="G174" i="3"/>
  <c r="E174" i="3"/>
  <c r="H174" i="3" s="1"/>
  <c r="B190" i="3" s="1"/>
  <c r="G173" i="3"/>
  <c r="E173" i="3"/>
  <c r="H173" i="3" s="1"/>
  <c r="B189" i="3" s="1"/>
  <c r="G172" i="3"/>
  <c r="E172" i="3"/>
  <c r="H172" i="3" s="1"/>
  <c r="B188" i="3" s="1"/>
  <c r="G171" i="3"/>
  <c r="E171" i="3"/>
  <c r="H171" i="3" s="1"/>
  <c r="B187" i="3" s="1"/>
  <c r="G169" i="3"/>
  <c r="E169" i="3"/>
  <c r="H169" i="3" s="1"/>
  <c r="B185" i="3" s="1"/>
  <c r="G168" i="3"/>
  <c r="E168" i="3"/>
  <c r="H168" i="3" s="1"/>
  <c r="B184" i="3" s="1"/>
  <c r="G167" i="3"/>
  <c r="E167" i="3"/>
  <c r="H167" i="3" s="1"/>
  <c r="B183" i="3" s="1"/>
  <c r="G166" i="3"/>
  <c r="E166" i="3"/>
  <c r="H166" i="3" s="1"/>
  <c r="B182" i="3" s="1"/>
  <c r="G165" i="3"/>
  <c r="E165" i="3"/>
  <c r="H165" i="3" s="1"/>
  <c r="B181" i="3" s="1"/>
  <c r="G164" i="3"/>
  <c r="E164" i="3"/>
  <c r="H164" i="3" s="1"/>
  <c r="B180" i="3" s="1"/>
  <c r="I31" i="2"/>
  <c r="B81" i="1"/>
  <c r="I16" i="2"/>
  <c r="G71" i="1"/>
  <c r="E71" i="1"/>
  <c r="H71" i="1" s="1"/>
  <c r="B41" i="7"/>
  <c r="G45" i="2"/>
  <c r="E25" i="6"/>
  <c r="H22" i="6"/>
  <c r="G24" i="2"/>
  <c r="G26" i="2"/>
  <c r="B60" i="1"/>
  <c r="G13" i="2"/>
  <c r="B59" i="1"/>
  <c r="G12" i="2"/>
  <c r="B55" i="1"/>
  <c r="G49" i="1"/>
  <c r="E49" i="1"/>
  <c r="H49" i="1" s="1"/>
  <c r="E25" i="7"/>
  <c r="H22" i="7"/>
  <c r="F30" i="2"/>
  <c r="H81" i="3"/>
  <c r="F29" i="2"/>
  <c r="F34" i="2" s="1"/>
  <c r="E154" i="3" l="1"/>
  <c r="H154" i="3" s="1"/>
  <c r="B170" i="3" s="1"/>
  <c r="G154" i="3"/>
  <c r="H14" i="2"/>
  <c r="B70" i="1"/>
  <c r="E80" i="8"/>
  <c r="H80" i="8" s="1"/>
  <c r="G80" i="8"/>
  <c r="E79" i="8"/>
  <c r="H79" i="8" s="1"/>
  <c r="G79" i="8"/>
  <c r="E78" i="8"/>
  <c r="H78" i="8" s="1"/>
  <c r="G78" i="8"/>
  <c r="E76" i="8"/>
  <c r="H76" i="8" s="1"/>
  <c r="G76" i="8"/>
  <c r="E75" i="8"/>
  <c r="H75" i="8" s="1"/>
  <c r="G75" i="8"/>
  <c r="B67" i="8"/>
  <c r="H62" i="8"/>
  <c r="G52" i="2"/>
  <c r="G57" i="2" s="1"/>
  <c r="G180" i="3"/>
  <c r="E180" i="3"/>
  <c r="H180" i="3" s="1"/>
  <c r="G181" i="3"/>
  <c r="E181" i="3"/>
  <c r="H181" i="3" s="1"/>
  <c r="G182" i="3"/>
  <c r="E182" i="3"/>
  <c r="H182" i="3" s="1"/>
  <c r="G183" i="3"/>
  <c r="E183" i="3"/>
  <c r="H183" i="3" s="1"/>
  <c r="G184" i="3"/>
  <c r="E184" i="3"/>
  <c r="H184" i="3" s="1"/>
  <c r="G185" i="3"/>
  <c r="E185" i="3"/>
  <c r="H185" i="3" s="1"/>
  <c r="G187" i="3"/>
  <c r="E187" i="3"/>
  <c r="H187" i="3" s="1"/>
  <c r="G188" i="3"/>
  <c r="E188" i="3"/>
  <c r="H188" i="3" s="1"/>
  <c r="G189" i="3"/>
  <c r="E189" i="3"/>
  <c r="H189" i="3" s="1"/>
  <c r="G190" i="3"/>
  <c r="E190" i="3"/>
  <c r="H190" i="3" s="1"/>
  <c r="B80" i="1"/>
  <c r="I15" i="2"/>
  <c r="G81" i="1"/>
  <c r="E81" i="1"/>
  <c r="H81" i="1" s="1"/>
  <c r="G41" i="7"/>
  <c r="E41" i="7"/>
  <c r="H41" i="7" s="1"/>
  <c r="B28" i="6"/>
  <c r="H25" i="6"/>
  <c r="E38" i="2"/>
  <c r="E41" i="2" s="1"/>
  <c r="G21" i="2"/>
  <c r="G23" i="2"/>
  <c r="G28" i="2"/>
  <c r="G27" i="2"/>
  <c r="G25" i="2"/>
  <c r="G22" i="2"/>
  <c r="G60" i="1"/>
  <c r="E60" i="1"/>
  <c r="H60" i="1" s="1"/>
  <c r="G59" i="1"/>
  <c r="E59" i="1"/>
  <c r="H59" i="1" s="1"/>
  <c r="B58" i="1"/>
  <c r="H55" i="1"/>
  <c r="G11" i="2"/>
  <c r="G17" i="2" s="1"/>
  <c r="B28" i="7"/>
  <c r="H25" i="7"/>
  <c r="E44" i="2"/>
  <c r="E47" i="2" s="1"/>
  <c r="B97" i="3"/>
  <c r="E170" i="3" l="1"/>
  <c r="H170" i="3" s="1"/>
  <c r="B186" i="3" s="1"/>
  <c r="G170" i="3"/>
  <c r="E70" i="1"/>
  <c r="H70" i="1" s="1"/>
  <c r="G70" i="1"/>
  <c r="E3" i="2"/>
  <c r="I55" i="2"/>
  <c r="B90" i="8"/>
  <c r="I54" i="2"/>
  <c r="B89" i="8"/>
  <c r="I53" i="2"/>
  <c r="B88" i="8"/>
  <c r="I51" i="2"/>
  <c r="B86" i="8"/>
  <c r="I50" i="2"/>
  <c r="B85" i="8"/>
  <c r="G67" i="8"/>
  <c r="G72" i="8" s="1"/>
  <c r="E67" i="8"/>
  <c r="B72" i="8"/>
  <c r="J31" i="2"/>
  <c r="B90" i="1"/>
  <c r="J16" i="2"/>
  <c r="G80" i="1"/>
  <c r="E80" i="1"/>
  <c r="H80" i="1" s="1"/>
  <c r="B47" i="7"/>
  <c r="H45" i="2"/>
  <c r="B31" i="6"/>
  <c r="G28" i="6"/>
  <c r="G31" i="6" s="1"/>
  <c r="E28" i="6"/>
  <c r="H24" i="2"/>
  <c r="H26" i="2"/>
  <c r="B69" i="1"/>
  <c r="H13" i="2"/>
  <c r="B68" i="1"/>
  <c r="H12" i="2"/>
  <c r="B64" i="1"/>
  <c r="G58" i="1"/>
  <c r="E58" i="1"/>
  <c r="H58" i="1" s="1"/>
  <c r="B31" i="7"/>
  <c r="G28" i="7"/>
  <c r="G31" i="7" s="1"/>
  <c r="E28" i="7"/>
  <c r="G30" i="2"/>
  <c r="H97" i="3"/>
  <c r="G29" i="2"/>
  <c r="G34" i="2" s="1"/>
  <c r="E186" i="3" l="1"/>
  <c r="H186" i="3" s="1"/>
  <c r="G186" i="3"/>
  <c r="I14" i="2"/>
  <c r="B79" i="1"/>
  <c r="E90" i="8"/>
  <c r="H90" i="8" s="1"/>
  <c r="G90" i="8"/>
  <c r="E89" i="8"/>
  <c r="H89" i="8" s="1"/>
  <c r="G89" i="8"/>
  <c r="E88" i="8"/>
  <c r="H88" i="8" s="1"/>
  <c r="G88" i="8"/>
  <c r="E86" i="8"/>
  <c r="H86" i="8" s="1"/>
  <c r="G86" i="8"/>
  <c r="E85" i="8"/>
  <c r="H85" i="8" s="1"/>
  <c r="G85" i="8"/>
  <c r="H67" i="8"/>
  <c r="E72" i="8"/>
  <c r="B89" i="1"/>
  <c r="J15" i="2"/>
  <c r="G90" i="1"/>
  <c r="E90" i="1"/>
  <c r="H90" i="1" s="1"/>
  <c r="G47" i="7"/>
  <c r="E47" i="7"/>
  <c r="H47" i="7" s="1"/>
  <c r="E31" i="6"/>
  <c r="H28" i="6"/>
  <c r="H21" i="2"/>
  <c r="H23" i="2"/>
  <c r="H28" i="2"/>
  <c r="H27" i="2"/>
  <c r="H25" i="2"/>
  <c r="H22" i="2"/>
  <c r="G69" i="1"/>
  <c r="E69" i="1"/>
  <c r="H69" i="1" s="1"/>
  <c r="G68" i="1"/>
  <c r="E68" i="1"/>
  <c r="H68" i="1" s="1"/>
  <c r="B67" i="1"/>
  <c r="H64" i="1"/>
  <c r="H11" i="2"/>
  <c r="H17" i="2" s="1"/>
  <c r="E31" i="7"/>
  <c r="H28" i="7"/>
  <c r="B113" i="3"/>
  <c r="E79" i="1" l="1"/>
  <c r="H79" i="1" s="1"/>
  <c r="G79" i="1"/>
  <c r="J55" i="2"/>
  <c r="B100" i="8"/>
  <c r="J54" i="2"/>
  <c r="B99" i="8"/>
  <c r="J53" i="2"/>
  <c r="B98" i="8"/>
  <c r="J51" i="2"/>
  <c r="B96" i="8"/>
  <c r="J50" i="2"/>
  <c r="B95" i="8"/>
  <c r="B77" i="8"/>
  <c r="H72" i="8"/>
  <c r="H52" i="2"/>
  <c r="H57" i="2" s="1"/>
  <c r="K31" i="2"/>
  <c r="B99" i="1"/>
  <c r="K16" i="2"/>
  <c r="G89" i="1"/>
  <c r="E89" i="1"/>
  <c r="H89" i="1" s="1"/>
  <c r="B53" i="7"/>
  <c r="I45" i="2"/>
  <c r="B34" i="6"/>
  <c r="H31" i="6"/>
  <c r="F38" i="2"/>
  <c r="F41" i="2" s="1"/>
  <c r="I24" i="2"/>
  <c r="I26" i="2"/>
  <c r="B78" i="1"/>
  <c r="I13" i="2"/>
  <c r="B77" i="1"/>
  <c r="I12" i="2"/>
  <c r="B73" i="1"/>
  <c r="G67" i="1"/>
  <c r="E67" i="1"/>
  <c r="H67" i="1" s="1"/>
  <c r="B34" i="7"/>
  <c r="H31" i="7"/>
  <c r="F44" i="2"/>
  <c r="F47" i="2" s="1"/>
  <c r="H30" i="2"/>
  <c r="H113" i="3"/>
  <c r="H29" i="2"/>
  <c r="H34" i="2" s="1"/>
  <c r="B88" i="1" l="1"/>
  <c r="J14" i="2"/>
  <c r="F3" i="2"/>
  <c r="E100" i="8"/>
  <c r="H100" i="8" s="1"/>
  <c r="G100" i="8"/>
  <c r="E99" i="8"/>
  <c r="H99" i="8" s="1"/>
  <c r="G99" i="8"/>
  <c r="E98" i="8"/>
  <c r="H98" i="8" s="1"/>
  <c r="G98" i="8"/>
  <c r="E96" i="8"/>
  <c r="H96" i="8" s="1"/>
  <c r="G96" i="8"/>
  <c r="E95" i="8"/>
  <c r="H95" i="8" s="1"/>
  <c r="G95" i="8"/>
  <c r="G77" i="8"/>
  <c r="G82" i="8" s="1"/>
  <c r="E77" i="8"/>
  <c r="B82" i="8"/>
  <c r="B98" i="1"/>
  <c r="K15" i="2"/>
  <c r="G99" i="1"/>
  <c r="E99" i="1"/>
  <c r="H99" i="1" s="1"/>
  <c r="G53" i="7"/>
  <c r="E53" i="7"/>
  <c r="H53" i="7" s="1"/>
  <c r="B37" i="6"/>
  <c r="G34" i="6"/>
  <c r="G37" i="6" s="1"/>
  <c r="E34" i="6"/>
  <c r="I21" i="2"/>
  <c r="I23" i="2"/>
  <c r="I28" i="2"/>
  <c r="I27" i="2"/>
  <c r="I25" i="2"/>
  <c r="I22" i="2"/>
  <c r="G78" i="1"/>
  <c r="E78" i="1"/>
  <c r="H78" i="1" s="1"/>
  <c r="G77" i="1"/>
  <c r="E77" i="1"/>
  <c r="H77" i="1" s="1"/>
  <c r="B76" i="1"/>
  <c r="H73" i="1"/>
  <c r="I11" i="2"/>
  <c r="I17" i="2" s="1"/>
  <c r="B37" i="7"/>
  <c r="G34" i="7"/>
  <c r="G37" i="7" s="1"/>
  <c r="E34" i="7"/>
  <c r="B129" i="3"/>
  <c r="E88" i="1" l="1"/>
  <c r="H88" i="1" s="1"/>
  <c r="G88" i="1"/>
  <c r="K55" i="2"/>
  <c r="B110" i="8"/>
  <c r="K54" i="2"/>
  <c r="B109" i="8"/>
  <c r="K53" i="2"/>
  <c r="B108" i="8"/>
  <c r="K51" i="2"/>
  <c r="B106" i="8"/>
  <c r="K50" i="2"/>
  <c r="B105" i="8"/>
  <c r="H77" i="8"/>
  <c r="E82" i="8"/>
  <c r="L31" i="2"/>
  <c r="B108" i="1"/>
  <c r="L16" i="2"/>
  <c r="G98" i="1"/>
  <c r="E98" i="1"/>
  <c r="H98" i="1" s="1"/>
  <c r="B59" i="7"/>
  <c r="J45" i="2"/>
  <c r="E37" i="6"/>
  <c r="H34" i="6"/>
  <c r="J24" i="2"/>
  <c r="J26" i="2"/>
  <c r="B87" i="1"/>
  <c r="J13" i="2"/>
  <c r="B86" i="1"/>
  <c r="J12" i="2"/>
  <c r="B82" i="1"/>
  <c r="G76" i="1"/>
  <c r="E76" i="1"/>
  <c r="H76" i="1" s="1"/>
  <c r="E37" i="7"/>
  <c r="H34" i="7"/>
  <c r="I30" i="2"/>
  <c r="H129" i="3"/>
  <c r="I29" i="2"/>
  <c r="I34" i="2" s="1"/>
  <c r="K14" i="2" l="1"/>
  <c r="B97" i="1"/>
  <c r="E110" i="8"/>
  <c r="H110" i="8" s="1"/>
  <c r="G110" i="8"/>
  <c r="E109" i="8"/>
  <c r="H109" i="8" s="1"/>
  <c r="G109" i="8"/>
  <c r="E108" i="8"/>
  <c r="H108" i="8" s="1"/>
  <c r="G108" i="8"/>
  <c r="E106" i="8"/>
  <c r="H106" i="8" s="1"/>
  <c r="G106" i="8"/>
  <c r="E105" i="8"/>
  <c r="H105" i="8" s="1"/>
  <c r="G105" i="8"/>
  <c r="B87" i="8"/>
  <c r="H82" i="8"/>
  <c r="I52" i="2"/>
  <c r="I57" i="2" s="1"/>
  <c r="M31" i="2"/>
  <c r="B107" i="1"/>
  <c r="L15" i="2"/>
  <c r="G108" i="1"/>
  <c r="E108" i="1"/>
  <c r="H108" i="1" s="1"/>
  <c r="M16" i="2" s="1"/>
  <c r="G59" i="7"/>
  <c r="E59" i="7"/>
  <c r="H59" i="7" s="1"/>
  <c r="B40" i="6"/>
  <c r="H37" i="6"/>
  <c r="G38" i="2"/>
  <c r="G41" i="2" s="1"/>
  <c r="J21" i="2"/>
  <c r="J23" i="2"/>
  <c r="J28" i="2"/>
  <c r="J27" i="2"/>
  <c r="J25" i="2"/>
  <c r="J22" i="2"/>
  <c r="G87" i="1"/>
  <c r="E87" i="1"/>
  <c r="H87" i="1" s="1"/>
  <c r="G86" i="1"/>
  <c r="E86" i="1"/>
  <c r="H86" i="1" s="1"/>
  <c r="B85" i="1"/>
  <c r="H82" i="1"/>
  <c r="J11" i="2"/>
  <c r="J17" i="2" s="1"/>
  <c r="B40" i="7"/>
  <c r="H37" i="7"/>
  <c r="G44" i="2"/>
  <c r="G47" i="2" s="1"/>
  <c r="B145" i="3"/>
  <c r="E97" i="1" l="1"/>
  <c r="H97" i="1" s="1"/>
  <c r="G97" i="1"/>
  <c r="G3" i="2"/>
  <c r="L55" i="2"/>
  <c r="B120" i="8"/>
  <c r="L54" i="2"/>
  <c r="B119" i="8"/>
  <c r="L53" i="2"/>
  <c r="B118" i="8"/>
  <c r="L51" i="2"/>
  <c r="B116" i="8"/>
  <c r="L50" i="2"/>
  <c r="B115" i="8"/>
  <c r="G87" i="8"/>
  <c r="G92" i="8" s="1"/>
  <c r="E87" i="8"/>
  <c r="B92" i="8"/>
  <c r="G107" i="1"/>
  <c r="E107" i="1"/>
  <c r="H107" i="1" s="1"/>
  <c r="M15" i="2" s="1"/>
  <c r="B65" i="7"/>
  <c r="K45" i="2"/>
  <c r="B43" i="6"/>
  <c r="G40" i="6"/>
  <c r="G43" i="6" s="1"/>
  <c r="E40" i="6"/>
  <c r="K24" i="2"/>
  <c r="K26" i="2"/>
  <c r="B96" i="1"/>
  <c r="K13" i="2"/>
  <c r="B95" i="1"/>
  <c r="K12" i="2"/>
  <c r="B91" i="1"/>
  <c r="G85" i="1"/>
  <c r="E85" i="1"/>
  <c r="H85" i="1" s="1"/>
  <c r="B43" i="7"/>
  <c r="G40" i="7"/>
  <c r="G43" i="7" s="1"/>
  <c r="E40" i="7"/>
  <c r="J30" i="2"/>
  <c r="H145" i="3"/>
  <c r="J29" i="2"/>
  <c r="L14" i="2" l="1"/>
  <c r="B106" i="1"/>
  <c r="E120" i="8"/>
  <c r="H120" i="8" s="1"/>
  <c r="M55" i="2" s="1"/>
  <c r="G120" i="8"/>
  <c r="E119" i="8"/>
  <c r="H119" i="8" s="1"/>
  <c r="M54" i="2" s="1"/>
  <c r="G119" i="8"/>
  <c r="E118" i="8"/>
  <c r="H118" i="8" s="1"/>
  <c r="M53" i="2" s="1"/>
  <c r="G118" i="8"/>
  <c r="E116" i="8"/>
  <c r="H116" i="8" s="1"/>
  <c r="M51" i="2" s="1"/>
  <c r="G116" i="8"/>
  <c r="E115" i="8"/>
  <c r="H115" i="8" s="1"/>
  <c r="M50" i="2" s="1"/>
  <c r="G115" i="8"/>
  <c r="H87" i="8"/>
  <c r="E92" i="8"/>
  <c r="G65" i="7"/>
  <c r="E65" i="7"/>
  <c r="H65" i="7" s="1"/>
  <c r="E43" i="6"/>
  <c r="H40" i="6"/>
  <c r="K21" i="2"/>
  <c r="K23" i="2"/>
  <c r="K28" i="2"/>
  <c r="K27" i="2"/>
  <c r="K25" i="2"/>
  <c r="K22" i="2"/>
  <c r="G96" i="1"/>
  <c r="E96" i="1"/>
  <c r="H96" i="1" s="1"/>
  <c r="G95" i="1"/>
  <c r="E95" i="1"/>
  <c r="H95" i="1" s="1"/>
  <c r="B94" i="1"/>
  <c r="H91" i="1"/>
  <c r="K11" i="2"/>
  <c r="K17" i="2" s="1"/>
  <c r="E43" i="7"/>
  <c r="H40" i="7"/>
  <c r="J34" i="2"/>
  <c r="B161" i="3"/>
  <c r="E106" i="1" l="1"/>
  <c r="H106" i="1" s="1"/>
  <c r="M14" i="2" s="1"/>
  <c r="G106" i="1"/>
  <c r="B97" i="8"/>
  <c r="H92" i="8"/>
  <c r="J52" i="2"/>
  <c r="J57" i="2" s="1"/>
  <c r="B71" i="7"/>
  <c r="L45" i="2"/>
  <c r="B46" i="6"/>
  <c r="H43" i="6"/>
  <c r="H38" i="2"/>
  <c r="H41" i="2" s="1"/>
  <c r="L24" i="2"/>
  <c r="L26" i="2"/>
  <c r="B105" i="1"/>
  <c r="L13" i="2"/>
  <c r="B104" i="1"/>
  <c r="L12" i="2"/>
  <c r="B100" i="1"/>
  <c r="G94" i="1"/>
  <c r="E94" i="1"/>
  <c r="H94" i="1" s="1"/>
  <c r="B46" i="7"/>
  <c r="H43" i="7"/>
  <c r="H44" i="2"/>
  <c r="H47" i="2" s="1"/>
  <c r="K30" i="2"/>
  <c r="H161" i="3"/>
  <c r="K29" i="2"/>
  <c r="H3" i="2" l="1"/>
  <c r="G97" i="8"/>
  <c r="G102" i="8" s="1"/>
  <c r="E97" i="8"/>
  <c r="B102" i="8"/>
  <c r="G71" i="7"/>
  <c r="E71" i="7"/>
  <c r="H71" i="7" s="1"/>
  <c r="M45" i="2" s="1"/>
  <c r="B49" i="6"/>
  <c r="G46" i="6"/>
  <c r="G49" i="6" s="1"/>
  <c r="E46" i="6"/>
  <c r="L21" i="2"/>
  <c r="M24" i="2"/>
  <c r="L23" i="2"/>
  <c r="L28" i="2"/>
  <c r="L27" i="2"/>
  <c r="L25" i="2"/>
  <c r="L22" i="2"/>
  <c r="M26" i="2"/>
  <c r="G105" i="1"/>
  <c r="E105" i="1"/>
  <c r="H105" i="1" s="1"/>
  <c r="M13" i="2" s="1"/>
  <c r="G104" i="1"/>
  <c r="E104" i="1"/>
  <c r="H104" i="1" s="1"/>
  <c r="M12" i="2" s="1"/>
  <c r="B103" i="1"/>
  <c r="H100" i="1"/>
  <c r="L11" i="2"/>
  <c r="L17" i="2" s="1"/>
  <c r="B49" i="7"/>
  <c r="G46" i="7"/>
  <c r="G49" i="7" s="1"/>
  <c r="E46" i="7"/>
  <c r="K34" i="2"/>
  <c r="B177" i="3"/>
  <c r="H97" i="8" l="1"/>
  <c r="E102" i="8"/>
  <c r="B193" i="3"/>
  <c r="H193" i="3"/>
  <c r="E49" i="6"/>
  <c r="H46" i="6"/>
  <c r="M21" i="2"/>
  <c r="M23" i="2"/>
  <c r="M28" i="2"/>
  <c r="M27" i="2"/>
  <c r="M25" i="2"/>
  <c r="M22" i="2"/>
  <c r="B109" i="1"/>
  <c r="G103" i="1"/>
  <c r="E103" i="1"/>
  <c r="H103" i="1" s="1"/>
  <c r="E49" i="7"/>
  <c r="H46" i="7"/>
  <c r="L30" i="2"/>
  <c r="H177" i="3"/>
  <c r="L29" i="2"/>
  <c r="B107" i="8" l="1"/>
  <c r="H102" i="8"/>
  <c r="K52" i="2"/>
  <c r="K57" i="2" s="1"/>
  <c r="B52" i="6"/>
  <c r="H49" i="6"/>
  <c r="I38" i="2"/>
  <c r="I41" i="2" s="1"/>
  <c r="H109" i="1"/>
  <c r="M11" i="2"/>
  <c r="M17" i="2" s="1"/>
  <c r="B52" i="7"/>
  <c r="H49" i="7"/>
  <c r="I44" i="2"/>
  <c r="I47" i="2" s="1"/>
  <c r="L34" i="2"/>
  <c r="M30" i="2"/>
  <c r="I3" i="2" l="1"/>
  <c r="G107" i="8"/>
  <c r="G112" i="8" s="1"/>
  <c r="E107" i="8"/>
  <c r="B112" i="8"/>
  <c r="B55" i="6"/>
  <c r="G52" i="6"/>
  <c r="G55" i="6" s="1"/>
  <c r="E52" i="6"/>
  <c r="B55" i="7"/>
  <c r="G52" i="7"/>
  <c r="G55" i="7" s="1"/>
  <c r="E52" i="7"/>
  <c r="M29" i="2"/>
  <c r="M34" i="2" s="1"/>
  <c r="H107" i="8" l="1"/>
  <c r="E112" i="8"/>
  <c r="E55" i="6"/>
  <c r="H52" i="6"/>
  <c r="E55" i="7"/>
  <c r="H52" i="7"/>
  <c r="B117" i="8" l="1"/>
  <c r="H112" i="8"/>
  <c r="L52" i="2"/>
  <c r="L57" i="2" s="1"/>
  <c r="B58" i="6"/>
  <c r="H55" i="6"/>
  <c r="J38" i="2"/>
  <c r="J41" i="2" s="1"/>
  <c r="B58" i="7"/>
  <c r="H55" i="7"/>
  <c r="J44" i="2"/>
  <c r="J47" i="2" s="1"/>
  <c r="J3" i="2" l="1"/>
  <c r="G117" i="8"/>
  <c r="G122" i="8" s="1"/>
  <c r="E117" i="8"/>
  <c r="B122" i="8"/>
  <c r="B61" i="6"/>
  <c r="G58" i="6"/>
  <c r="G61" i="6" s="1"/>
  <c r="E58" i="6"/>
  <c r="B61" i="7"/>
  <c r="G58" i="7"/>
  <c r="G61" i="7" s="1"/>
  <c r="E58" i="7"/>
  <c r="H117" i="8" l="1"/>
  <c r="E122" i="8"/>
  <c r="E61" i="6"/>
  <c r="H58" i="6"/>
  <c r="E61" i="7"/>
  <c r="H58" i="7"/>
  <c r="H122" i="8" l="1"/>
  <c r="M52" i="2"/>
  <c r="M57" i="2" s="1"/>
  <c r="B64" i="6"/>
  <c r="H61" i="6"/>
  <c r="K38" i="2"/>
  <c r="K41" i="2" s="1"/>
  <c r="B64" i="7"/>
  <c r="H61" i="7"/>
  <c r="K44" i="2"/>
  <c r="K47" i="2" s="1"/>
  <c r="K3" i="2" l="1"/>
  <c r="B67" i="6"/>
  <c r="G64" i="6"/>
  <c r="G67" i="6" s="1"/>
  <c r="E64" i="6"/>
  <c r="B67" i="7"/>
  <c r="G64" i="7"/>
  <c r="G67" i="7" s="1"/>
  <c r="E64" i="7"/>
  <c r="E67" i="6" l="1"/>
  <c r="H64" i="6"/>
  <c r="E67" i="7"/>
  <c r="H64" i="7"/>
  <c r="B70" i="6" l="1"/>
  <c r="B69" i="6"/>
  <c r="H67" i="6"/>
  <c r="L38" i="2"/>
  <c r="L41" i="2" s="1"/>
  <c r="B70" i="7"/>
  <c r="H67" i="7"/>
  <c r="L44" i="2"/>
  <c r="L47" i="2" s="1"/>
  <c r="L3" i="2" l="1"/>
  <c r="B72" i="6"/>
  <c r="G69" i="6"/>
  <c r="E69" i="6"/>
  <c r="G70" i="6"/>
  <c r="E70" i="6"/>
  <c r="H70" i="6" s="1"/>
  <c r="B73" i="7"/>
  <c r="G70" i="7"/>
  <c r="G73" i="7" s="1"/>
  <c r="E70" i="7"/>
  <c r="E72" i="6" l="1"/>
  <c r="H69" i="6"/>
  <c r="G72" i="6"/>
  <c r="E73" i="7"/>
  <c r="H70" i="7"/>
  <c r="H72" i="6" l="1"/>
  <c r="M38" i="2"/>
  <c r="M41" i="2" s="1"/>
  <c r="H73" i="7"/>
  <c r="M44" i="2"/>
  <c r="M47" i="2" s="1"/>
  <c r="M3" i="2" s="1"/>
</calcChain>
</file>

<file path=xl/sharedStrings.xml><?xml version="1.0" encoding="utf-8"?>
<sst xmlns="http://schemas.openxmlformats.org/spreadsheetml/2006/main" count="800" uniqueCount="68">
  <si>
    <t>ENTRADA</t>
  </si>
  <si>
    <t>FUNDO DE INVESTIMENTO</t>
  </si>
  <si>
    <t>RENDA FIXA</t>
  </si>
  <si>
    <t>COE</t>
  </si>
  <si>
    <t>SALDO ANTERIOR</t>
  </si>
  <si>
    <t>SAÍDA</t>
  </si>
  <si>
    <t>TOTAL</t>
  </si>
  <si>
    <t>TOTAL...</t>
  </si>
  <si>
    <t>SUB TOTAL</t>
  </si>
  <si>
    <t>RENDIMENTO %</t>
  </si>
  <si>
    <t>RENDIMENTO $</t>
  </si>
  <si>
    <t>CDB Plus</t>
  </si>
  <si>
    <t>LCADI</t>
  </si>
  <si>
    <t>PIC</t>
  </si>
  <si>
    <t>CDB</t>
  </si>
  <si>
    <t>LCI DI</t>
  </si>
  <si>
    <t>OPEA SECURITIZADORA</t>
  </si>
  <si>
    <t>Poupança</t>
  </si>
  <si>
    <t>BANCO ITAÚ RENATA</t>
  </si>
  <si>
    <t>BANCO XP RENATA</t>
  </si>
  <si>
    <t>TOTAL APLICADO</t>
  </si>
  <si>
    <t>RDC PÓS CDI</t>
  </si>
  <si>
    <t>BANCO SICOOB CONJUNTA</t>
  </si>
  <si>
    <t>RENDIMENTOS</t>
  </si>
  <si>
    <t>CDI</t>
  </si>
  <si>
    <t>BANCO SAFRA CONJUNTA</t>
  </si>
  <si>
    <t>MULTIMERCADO</t>
  </si>
  <si>
    <t>FUNDOS</t>
  </si>
  <si>
    <t>PREVIDENCIA</t>
  </si>
  <si>
    <t>CRÉDITO PRIVADO</t>
  </si>
  <si>
    <t>TÍTULOS PÚBLICOS</t>
  </si>
  <si>
    <t>XP 24 HORAS FIRF RL</t>
  </si>
  <si>
    <t>CDBDI</t>
  </si>
  <si>
    <t>LCI PRÉ</t>
  </si>
  <si>
    <t>CDB HELIO</t>
  </si>
  <si>
    <t>HOLDING</t>
  </si>
  <si>
    <t>HELIO</t>
  </si>
  <si>
    <t>CDB MR</t>
  </si>
  <si>
    <t>CDB HOLDING</t>
  </si>
  <si>
    <t>FUNDOS TRUST DI HOLDING</t>
  </si>
  <si>
    <t>FUNDOS GLOBAL DINAM RFHOLDING</t>
  </si>
  <si>
    <t>SALDO EM 30/01/2026</t>
  </si>
  <si>
    <t>SALDO EM 30/03/2026</t>
  </si>
  <si>
    <t>SALDO EM 30/04/2026</t>
  </si>
  <si>
    <t>SALDO EM 30/05/2026</t>
  </si>
  <si>
    <t>SALDO EM 30/06/2026</t>
  </si>
  <si>
    <t>SALDO EM 30/07/2026</t>
  </si>
  <si>
    <t>SALDO EM 30/08/2026</t>
  </si>
  <si>
    <t>SALDO EM 30/09/2026</t>
  </si>
  <si>
    <t>SALDO EM 30/10/2026</t>
  </si>
  <si>
    <t>SALDO EM 30/11/2026</t>
  </si>
  <si>
    <t>SALDO EM 30/12/2026</t>
  </si>
  <si>
    <t>SALDO EM 28/02/2026</t>
  </si>
  <si>
    <t>03SALDO EM 30/03/2026</t>
  </si>
  <si>
    <t>SALDO EM 30/11/26</t>
  </si>
  <si>
    <t>SALDO EM 30/12/26</t>
  </si>
  <si>
    <t>SALDO EM 30/01/26</t>
  </si>
  <si>
    <t>SALDO EM 28/02/26</t>
  </si>
  <si>
    <t>SALDO EM 30/03/26</t>
  </si>
  <si>
    <t>SALDO EM 28/04/26</t>
  </si>
  <si>
    <t>SALDO EM 30/05/26</t>
  </si>
  <si>
    <t>SALDO EM 30/06/26</t>
  </si>
  <si>
    <t>SALDO EM 30/07/26</t>
  </si>
  <si>
    <t>SALDO EM 30/08/26</t>
  </si>
  <si>
    <t>SALDO EM 30/09/26</t>
  </si>
  <si>
    <t>SALDO EM 30/10/26</t>
  </si>
  <si>
    <t>SALDO EM 30/02/2026</t>
  </si>
  <si>
    <t>HPLDING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</si>
</sst>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[Blue]\✔0.00%;[Red]\-\_xd83d_\_xdc40_0.00%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Continuous" vertical="center" wrapText="1"/>
    </xf>
    <xf numFmtId="0" fontId="0" fillId="2" borderId="4" xfId="0" applyFill="1" applyBorder="1" applyAlignment="1">
      <alignment horizontal="centerContinuous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Continuous" vertical="center"/>
    </xf>
    <xf numFmtId="164" fontId="1" fillId="2" borderId="4" xfId="0" applyNumberFormat="1" applyFont="1" applyFill="1" applyBorder="1" applyAlignment="1">
      <alignment vertical="center"/>
    </xf>
    <xf numFmtId="17" fontId="3" fillId="3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8" fontId="3" fillId="3" borderId="5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Continuous"/>
    </xf>
    <xf numFmtId="0" fontId="3" fillId="3" borderId="12" xfId="0" applyFont="1" applyFill="1" applyBorder="1" applyAlignment="1">
      <alignment horizontal="centerContinuous"/>
    </xf>
    <xf numFmtId="0" fontId="4" fillId="3" borderId="10" xfId="0" applyFont="1" applyFill="1" applyBorder="1" applyAlignment="1">
      <alignment horizontal="centerContinuous"/>
    </xf>
    <xf numFmtId="0" fontId="3" fillId="3" borderId="11" xfId="0" applyFont="1" applyFill="1" applyBorder="1" applyAlignment="1">
      <alignment horizontal="centerContinuous"/>
    </xf>
    <xf numFmtId="17" fontId="3" fillId="3" borderId="13" xfId="0" applyNumberFormat="1" applyFont="1" applyFill="1" applyBorder="1" applyAlignment="1">
      <alignment horizontal="centerContinuous"/>
    </xf>
    <xf numFmtId="17" fontId="3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8" fontId="3" fillId="4" borderId="5" xfId="0" applyNumberFormat="1" applyFont="1" applyFill="1" applyBorder="1" applyAlignment="1">
      <alignment horizontal="center" vertical="center" wrapText="1"/>
    </xf>
    <xf numFmtId="165" fontId="3" fillId="4" borderId="5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Continuous"/>
    </xf>
    <xf numFmtId="0" fontId="3" fillId="4" borderId="12" xfId="0" applyFont="1" applyFill="1" applyBorder="1" applyAlignment="1">
      <alignment horizontal="centerContinuous"/>
    </xf>
    <xf numFmtId="0" fontId="4" fillId="4" borderId="10" xfId="0" applyFont="1" applyFill="1" applyBorder="1" applyAlignment="1">
      <alignment horizontal="centerContinuous"/>
    </xf>
    <xf numFmtId="0" fontId="3" fillId="4" borderId="11" xfId="0" applyFont="1" applyFill="1" applyBorder="1" applyAlignment="1">
      <alignment horizontal="centerContinuous"/>
    </xf>
    <xf numFmtId="17" fontId="3" fillId="4" borderId="13" xfId="0" applyNumberFormat="1" applyFont="1" applyFill="1" applyBorder="1" applyAlignment="1">
      <alignment horizontal="centerContinuous"/>
    </xf>
    <xf numFmtId="164" fontId="1" fillId="0" borderId="14" xfId="0" applyNumberFormat="1" applyFont="1" applyBorder="1" applyAlignment="1">
      <alignment horizontal="center" vertical="center"/>
    </xf>
    <xf numFmtId="17" fontId="3" fillId="8" borderId="3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8" fontId="3" fillId="8" borderId="5" xfId="0" applyNumberFormat="1" applyFont="1" applyFill="1" applyBorder="1" applyAlignment="1">
      <alignment horizontal="center" vertical="center" wrapText="1"/>
    </xf>
    <xf numFmtId="165" fontId="3" fillId="8" borderId="5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Continuous"/>
    </xf>
    <xf numFmtId="0" fontId="5" fillId="8" borderId="12" xfId="0" applyFont="1" applyFill="1" applyBorder="1" applyAlignment="1">
      <alignment horizontal="centerContinuous"/>
    </xf>
    <xf numFmtId="0" fontId="6" fillId="8" borderId="10" xfId="0" applyFont="1" applyFill="1" applyBorder="1" applyAlignment="1">
      <alignment horizontal="centerContinuous"/>
    </xf>
    <xf numFmtId="0" fontId="5" fillId="8" borderId="11" xfId="0" applyFont="1" applyFill="1" applyBorder="1" applyAlignment="1">
      <alignment horizontal="centerContinuous"/>
    </xf>
    <xf numFmtId="17" fontId="5" fillId="8" borderId="13" xfId="0" applyNumberFormat="1" applyFont="1" applyFill="1" applyBorder="1" applyAlignment="1">
      <alignment horizontal="centerContinuous"/>
    </xf>
    <xf numFmtId="164" fontId="0" fillId="0" borderId="0" xfId="0" applyNumberFormat="1"/>
    <xf numFmtId="164" fontId="0" fillId="6" borderId="6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1" applyNumberFormat="1" applyFont="1" applyBorder="1" applyAlignment="1">
      <alignment horizontal="center" vertical="center"/>
    </xf>
    <xf numFmtId="8" fontId="1" fillId="2" borderId="4" xfId="0" applyNumberFormat="1" applyFont="1" applyFill="1" applyBorder="1" applyAlignment="1">
      <alignment horizontal="center" vertical="center"/>
    </xf>
    <xf numFmtId="17" fontId="1" fillId="0" borderId="15" xfId="0" applyNumberFormat="1" applyFont="1" applyBorder="1" applyAlignment="1">
      <alignment horizontal="center" vertical="center"/>
    </xf>
    <xf numFmtId="8" fontId="1" fillId="0" borderId="14" xfId="1" applyNumberFormat="1" applyFont="1" applyBorder="1" applyAlignment="1">
      <alignment horizontal="center" vertical="center"/>
    </xf>
    <xf numFmtId="8" fontId="0" fillId="6" borderId="6" xfId="0" applyNumberFormat="1" applyFill="1" applyBorder="1" applyAlignment="1">
      <alignment horizontal="center" vertical="center"/>
    </xf>
    <xf numFmtId="165" fontId="0" fillId="6" borderId="6" xfId="1" applyNumberFormat="1" applyFont="1" applyFill="1" applyBorder="1" applyAlignment="1">
      <alignment horizontal="center" vertical="center"/>
    </xf>
    <xf numFmtId="17" fontId="5" fillId="11" borderId="3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8" fontId="5" fillId="11" borderId="5" xfId="0" applyNumberFormat="1" applyFont="1" applyFill="1" applyBorder="1" applyAlignment="1">
      <alignment horizontal="center" vertical="center" wrapText="1"/>
    </xf>
    <xf numFmtId="165" fontId="5" fillId="11" borderId="5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4" fontId="5" fillId="11" borderId="5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Continuous"/>
    </xf>
    <xf numFmtId="0" fontId="5" fillId="13" borderId="12" xfId="0" applyFont="1" applyFill="1" applyBorder="1" applyAlignment="1">
      <alignment horizontal="centerContinuous"/>
    </xf>
    <xf numFmtId="0" fontId="6" fillId="13" borderId="10" xfId="0" applyFont="1" applyFill="1" applyBorder="1" applyAlignment="1">
      <alignment horizontal="centerContinuous"/>
    </xf>
    <xf numFmtId="0" fontId="5" fillId="13" borderId="11" xfId="0" applyFont="1" applyFill="1" applyBorder="1" applyAlignment="1">
      <alignment horizontal="centerContinuous"/>
    </xf>
    <xf numFmtId="0" fontId="1" fillId="5" borderId="3" xfId="0" applyFont="1" applyFill="1" applyBorder="1" applyAlignment="1">
      <alignment horizontal="centerContinuous" vertical="center" wrapText="1"/>
    </xf>
    <xf numFmtId="164" fontId="1" fillId="5" borderId="4" xfId="0" applyNumberFormat="1" applyFont="1" applyFill="1" applyBorder="1" applyAlignment="1">
      <alignment horizontal="center" vertical="center"/>
    </xf>
    <xf numFmtId="17" fontId="3" fillId="14" borderId="3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8" fontId="3" fillId="14" borderId="5" xfId="0" applyNumberFormat="1" applyFont="1" applyFill="1" applyBorder="1" applyAlignment="1">
      <alignment horizontal="center" vertical="center" wrapText="1"/>
    </xf>
    <xf numFmtId="165" fontId="3" fillId="14" borderId="5" xfId="0" applyNumberFormat="1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Continuous"/>
    </xf>
    <xf numFmtId="17" fontId="3" fillId="14" borderId="0" xfId="0" applyNumberFormat="1" applyFont="1" applyFill="1" applyAlignment="1">
      <alignment horizontal="centerContinuous"/>
    </xf>
    <xf numFmtId="164" fontId="0" fillId="0" borderId="17" xfId="0" applyNumberForma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64" fontId="5" fillId="8" borderId="11" xfId="0" applyNumberFormat="1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7" fontId="5" fillId="13" borderId="0" xfId="0" applyNumberFormat="1" applyFont="1" applyFill="1" applyAlignment="1">
      <alignment horizontal="centerContinuous"/>
    </xf>
    <xf numFmtId="0" fontId="3" fillId="14" borderId="0" xfId="0" applyFont="1" applyFill="1" applyAlignment="1">
      <alignment horizontal="centerContinuous"/>
    </xf>
    <xf numFmtId="0" fontId="4" fillId="14" borderId="16" xfId="0" applyFont="1" applyFill="1" applyBorder="1" applyAlignment="1">
      <alignment horizontal="centerContinuous"/>
    </xf>
    <xf numFmtId="0" fontId="1" fillId="12" borderId="3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8" fontId="5" fillId="11" borderId="10" xfId="0" applyNumberFormat="1" applyFont="1" applyFill="1" applyBorder="1" applyAlignment="1">
      <alignment horizontal="center" vertical="center" wrapText="1"/>
    </xf>
    <xf numFmtId="165" fontId="5" fillId="11" borderId="10" xfId="0" applyNumberFormat="1" applyFont="1" applyFill="1" applyBorder="1" applyAlignment="1">
      <alignment horizontal="center" vertical="center" wrapText="1"/>
    </xf>
    <xf numFmtId="14" fontId="5" fillId="11" borderId="10" xfId="0" applyNumberFormat="1" applyFont="1" applyFill="1" applyBorder="1" applyAlignment="1">
      <alignment horizontal="center" vertical="center" wrapText="1"/>
    </xf>
    <xf numFmtId="0" fontId="0" fillId="0" borderId="15" xfId="0" applyBorder="1"/>
    <xf numFmtId="164" fontId="1" fillId="0" borderId="7" xfId="0" applyNumberFormat="1" applyFont="1" applyBorder="1" applyAlignment="1">
      <alignment horizontal="center" vertical="center"/>
    </xf>
    <xf numFmtId="0" fontId="3" fillId="14" borderId="18" xfId="0" applyFont="1" applyFill="1" applyBorder="1" applyAlignment="1">
      <alignment horizontal="centerContinuous"/>
    </xf>
    <xf numFmtId="0" fontId="1" fillId="16" borderId="3" xfId="0" applyFont="1" applyFill="1" applyBorder="1" applyAlignment="1">
      <alignment horizontal="center" vertical="center"/>
    </xf>
    <xf numFmtId="164" fontId="1" fillId="16" borderId="4" xfId="0" applyNumberFormat="1" applyFont="1" applyFill="1" applyBorder="1" applyAlignment="1">
      <alignment horizontal="center" vertical="center"/>
    </xf>
    <xf numFmtId="164" fontId="1" fillId="16" borderId="5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164" fontId="3" fillId="14" borderId="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5" borderId="6" xfId="1" applyNumberFormat="1" applyFont="1" applyFill="1" applyBorder="1" applyAlignment="1">
      <alignment horizontal="center" vertical="center"/>
    </xf>
    <xf numFmtId="0" fontId="1" fillId="0" borderId="0" xfId="0" applyFont="1"/>
    <xf numFmtId="0" fontId="0" fillId="2" borderId="13" xfId="0" applyFill="1" applyBorder="1" applyAlignment="1">
      <alignment horizontal="centerContinuous" vertical="center"/>
    </xf>
    <xf numFmtId="165" fontId="0" fillId="2" borderId="13" xfId="0" applyNumberFormat="1" applyFill="1" applyBorder="1" applyAlignment="1">
      <alignment horizontal="centerContinuous" vertical="center"/>
    </xf>
    <xf numFmtId="164" fontId="1" fillId="2" borderId="19" xfId="0" applyNumberFormat="1" applyFont="1" applyFill="1" applyBorder="1" applyAlignment="1">
      <alignment horizontal="center" vertical="center"/>
    </xf>
    <xf numFmtId="8" fontId="0" fillId="6" borderId="2" xfId="0" applyNumberFormat="1" applyFill="1" applyBorder="1" applyAlignment="1">
      <alignment horizontal="center" vertical="center"/>
    </xf>
    <xf numFmtId="165" fontId="0" fillId="6" borderId="2" xfId="1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8" fontId="0" fillId="0" borderId="17" xfId="0" applyNumberForma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4" fontId="0" fillId="6" borderId="17" xfId="0" applyNumberFormat="1" applyFill="1" applyBorder="1" applyAlignment="1">
      <alignment horizontal="center" vertical="center"/>
    </xf>
    <xf numFmtId="166" fontId="1" fillId="2" borderId="13" xfId="1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164" fontId="1" fillId="15" borderId="3" xfId="0" applyNumberFormat="1" applyFont="1" applyFill="1" applyBorder="1" applyAlignment="1">
      <alignment horizontal="center" vertical="center"/>
    </xf>
    <xf numFmtId="164" fontId="1" fillId="15" borderId="4" xfId="0" applyNumberFormat="1" applyFont="1" applyFill="1" applyBorder="1" applyAlignment="1">
      <alignment horizontal="center" vertical="center"/>
    </xf>
    <xf numFmtId="164" fontId="1" fillId="15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6118-A979-40A1-BE1F-D4A3C41475E7}">
  <dimension ref="A1:M57"/>
  <sheetViews>
    <sheetView zoomScaleNormal="100" workbookViewId="0">
      <selection activeCell="D7" sqref="D7"/>
    </sheetView>
  </sheetViews>
  <sheetFormatPr defaultRowHeight="14.4" x14ac:dyDescent="0.3"/>
  <cols>
    <col min="1" max="1" width="16.5546875" customWidth="1"/>
    <col min="2" max="9" width="15.33203125" bestFit="1" customWidth="1"/>
    <col min="10" max="10" width="15.21875" bestFit="1" customWidth="1"/>
    <col min="11" max="11" width="15.44140625" customWidth="1"/>
    <col min="12" max="13" width="15.33203125" bestFit="1" customWidth="1"/>
  </cols>
  <sheetData>
    <row r="1" spans="1:13" ht="15" thickBot="1" x14ac:dyDescent="0.35">
      <c r="A1" s="136" t="s">
        <v>20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8"/>
    </row>
    <row r="2" spans="1:13" x14ac:dyDescent="0.3">
      <c r="A2" s="65"/>
      <c r="B2" s="65">
        <v>45658</v>
      </c>
      <c r="C2" s="65">
        <v>45689</v>
      </c>
      <c r="D2" s="65">
        <v>45717</v>
      </c>
      <c r="E2" s="65">
        <v>45748</v>
      </c>
      <c r="F2" s="65">
        <v>45778</v>
      </c>
      <c r="G2" s="65">
        <v>45809</v>
      </c>
      <c r="H2" s="65">
        <v>45839</v>
      </c>
      <c r="I2" s="65">
        <v>45870</v>
      </c>
      <c r="J2" s="65">
        <v>45901</v>
      </c>
      <c r="K2" s="65">
        <v>45931</v>
      </c>
      <c r="L2" s="65">
        <v>45962</v>
      </c>
      <c r="M2" s="65">
        <v>45992</v>
      </c>
    </row>
    <row r="3" spans="1:13" ht="15" thickBot="1" x14ac:dyDescent="0.35">
      <c r="A3" s="43"/>
      <c r="B3" s="43">
        <f t="shared" ref="B3:M3" si="0">SUM(B17,B34,B41,B47,B57)</f>
        <v>20969397.800000001</v>
      </c>
      <c r="C3" s="43">
        <f t="shared" si="0"/>
        <v>20835814.710000001</v>
      </c>
      <c r="D3" s="43">
        <f t="shared" si="0"/>
        <v>20668068.410000004</v>
      </c>
      <c r="E3" s="43">
        <f t="shared" si="0"/>
        <v>20668068.410000004</v>
      </c>
      <c r="F3" s="43">
        <f t="shared" si="0"/>
        <v>20668068.410000004</v>
      </c>
      <c r="G3" s="43">
        <f t="shared" si="0"/>
        <v>20668068.410000004</v>
      </c>
      <c r="H3" s="43">
        <f t="shared" si="0"/>
        <v>20668068.410000004</v>
      </c>
      <c r="I3" s="43">
        <f t="shared" si="0"/>
        <v>20668068.410000004</v>
      </c>
      <c r="J3" s="43">
        <f t="shared" si="0"/>
        <v>20668068.410000004</v>
      </c>
      <c r="K3" s="43">
        <f t="shared" si="0"/>
        <v>20668068.410000004</v>
      </c>
      <c r="L3" s="43">
        <f t="shared" si="0"/>
        <v>20668068.410000004</v>
      </c>
      <c r="M3" s="43">
        <f t="shared" si="0"/>
        <v>20668068.410000004</v>
      </c>
    </row>
    <row r="4" spans="1:13" ht="15" thickBot="1" x14ac:dyDescent="0.35">
      <c r="A4" s="62"/>
      <c r="B4" s="63"/>
      <c r="C4" s="62"/>
      <c r="D4" s="62"/>
    </row>
    <row r="5" spans="1:13" ht="15" thickBot="1" x14ac:dyDescent="0.35">
      <c r="A5" s="139" t="s">
        <v>23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1"/>
    </row>
    <row r="6" spans="1:13" x14ac:dyDescent="0.3">
      <c r="A6" s="65"/>
      <c r="B6" s="65">
        <v>45658</v>
      </c>
      <c r="C6" s="65">
        <v>45689</v>
      </c>
      <c r="D6" s="65">
        <v>45717</v>
      </c>
      <c r="E6" s="65">
        <v>45748</v>
      </c>
      <c r="F6" s="65">
        <v>45778</v>
      </c>
      <c r="G6" s="65">
        <v>45809</v>
      </c>
      <c r="H6" s="65">
        <v>45839</v>
      </c>
      <c r="I6" s="65">
        <v>45870</v>
      </c>
      <c r="J6" s="65">
        <v>45901</v>
      </c>
      <c r="K6" s="65">
        <v>45931</v>
      </c>
      <c r="L6" s="65">
        <v>45962</v>
      </c>
      <c r="M6" s="65">
        <v>45992</v>
      </c>
    </row>
    <row r="7" spans="1:13" ht="15" thickBot="1" x14ac:dyDescent="0.35">
      <c r="A7" s="43"/>
      <c r="B7" s="66">
        <f>'BANCO XP RENATA'!F10+'BANCO ITAÚ RENATA HELIO'!F17+SICOOB!F7+SAFRA!F7+SANTANDER!F12</f>
        <v>270984.87</v>
      </c>
      <c r="C7" s="66">
        <f>SUM('BANCO XP RENATA'!F19+'BANCO ITAÚ RENATA HELIO'!F33+SICOOB!F13+SAFRA!F13+SANTANDER!F22)</f>
        <v>160291.18</v>
      </c>
      <c r="D7" s="66">
        <f>SUM('BANCO XP RENATA'!F28+'BANCO ITAÚ RENATA HELIO'!F49+SICOOB!F19+SAFRA!F19+SANTANDER!F32)</f>
        <v>0</v>
      </c>
      <c r="E7" s="66">
        <f>SUM('BANCO XP RENATA'!F37+'BANCO ITAÚ RENATA HELIO'!F65+SICOOB!F25+SAFRA!F25+SANTANDER!F42)</f>
        <v>0</v>
      </c>
      <c r="F7" s="66">
        <f>'BANCO XP RENATA'!F46+'BANCO ITAÚ RENATA HELIO'!F81+SICOOB!F31+SAFRA!F31+SANTANDER!F52</f>
        <v>0</v>
      </c>
      <c r="G7" s="66">
        <f>'BANCO XP RENATA'!F55+'BANCO ITAÚ RENATA HELIO'!F97+SICOOB!F37+SAFRA!F37+SANTANDER!F62</f>
        <v>0</v>
      </c>
      <c r="H7" s="66">
        <f>'BANCO XP RENATA'!F64+'BANCO ITAÚ RENATA HELIO'!F113+SICOOB!F49+SAFRA!F43+SANTANDER!F72</f>
        <v>0</v>
      </c>
      <c r="I7" s="66">
        <f>'BANCO XP RENATA'!F73+'BANCO ITAÚ RENATA HELIO'!F129+SICOOB!F49+SAFRA!F49+SANTANDER!F82</f>
        <v>0</v>
      </c>
      <c r="J7" s="66">
        <f>'BANCO XP RENATA'!F82+'BANCO ITAÚ RENATA HELIO'!F145+SICOOB!F55+SAFRA!F55+SANTANDER!F92</f>
        <v>0</v>
      </c>
      <c r="K7" s="66">
        <f>'BANCO XP RENATA'!F91+'BANCO ITAÚ RENATA HELIO'!F161+SICOOB!F61+SAFRA!F61+SANTANDER!F102</f>
        <v>0</v>
      </c>
      <c r="L7" s="66">
        <f>'BANCO XP RENATA'!F100+'BANCO ITAÚ RENATA HELIO'!F177+SICOOB!F67+SAFRA!F67+SANTANDER!F112</f>
        <v>0</v>
      </c>
      <c r="M7" s="66">
        <f>'BANCO XP RENATA'!F109+'BANCO ITAÚ RENATA HELIO'!F193+SICOOB!F72+SAFRA!F73+SANTANDER!F122</f>
        <v>0</v>
      </c>
    </row>
    <row r="8" spans="1:13" ht="15" thickBot="1" x14ac:dyDescent="0.35"/>
    <row r="9" spans="1:13" x14ac:dyDescent="0.3">
      <c r="A9" s="25" t="s">
        <v>19</v>
      </c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3" ht="15" thickBot="1" x14ac:dyDescent="0.35">
      <c r="A10" s="28"/>
      <c r="B10" s="29">
        <v>45658</v>
      </c>
      <c r="C10" s="29">
        <v>45689</v>
      </c>
      <c r="D10" s="29">
        <v>45717</v>
      </c>
      <c r="E10" s="29">
        <v>45748</v>
      </c>
      <c r="F10" s="29">
        <v>45778</v>
      </c>
      <c r="G10" s="29">
        <v>45809</v>
      </c>
      <c r="H10" s="29">
        <v>45839</v>
      </c>
      <c r="I10" s="29">
        <v>45870</v>
      </c>
      <c r="J10" s="29">
        <v>45901</v>
      </c>
      <c r="K10" s="29">
        <v>45931</v>
      </c>
      <c r="L10" s="29">
        <v>45962</v>
      </c>
      <c r="M10" s="29">
        <v>45992</v>
      </c>
    </row>
    <row r="11" spans="1:13" ht="28.8" x14ac:dyDescent="0.3">
      <c r="A11" s="5" t="s">
        <v>1</v>
      </c>
      <c r="B11" s="13">
        <f>'BANCO XP RENATA'!H4</f>
        <v>587936.23</v>
      </c>
      <c r="C11" s="13">
        <f>'BANCO XP RENATA'!H13</f>
        <v>600266.30999999994</v>
      </c>
      <c r="D11" s="13">
        <f>'BANCO XP RENATA'!H22</f>
        <v>600266.30999999994</v>
      </c>
      <c r="E11" s="13">
        <f>'BANCO XP RENATA'!H31</f>
        <v>600266.30999999994</v>
      </c>
      <c r="F11" s="13">
        <f>'BANCO XP RENATA'!H40</f>
        <v>600266.30999999994</v>
      </c>
      <c r="G11" s="13">
        <f>'BANCO XP RENATA'!H49</f>
        <v>600266.30999999994</v>
      </c>
      <c r="H11" s="13">
        <f>'BANCO XP RENATA'!H58</f>
        <v>600266.30999999994</v>
      </c>
      <c r="I11" s="13">
        <f>'BANCO XP RENATA'!H67</f>
        <v>600266.30999999994</v>
      </c>
      <c r="J11" s="13">
        <f>'BANCO XP RENATA'!H76</f>
        <v>600266.30999999994</v>
      </c>
      <c r="K11" s="13">
        <f>'BANCO XP RENATA'!H85</f>
        <v>600266.30999999994</v>
      </c>
      <c r="L11" s="13">
        <f>'BANCO XP RENATA'!H94</f>
        <v>600266.30999999994</v>
      </c>
      <c r="M11" s="13">
        <f>'BANCO XP RENATA'!H103</f>
        <v>600266.30999999994</v>
      </c>
    </row>
    <row r="12" spans="1:13" x14ac:dyDescent="0.3">
      <c r="A12" s="4" t="s">
        <v>2</v>
      </c>
      <c r="B12" s="13">
        <f>'BANCO XP RENATA'!H5</f>
        <v>2745455.5799999996</v>
      </c>
      <c r="C12" s="13">
        <f>'BANCO XP RENATA'!H14</f>
        <v>2768239.3999999994</v>
      </c>
      <c r="D12" s="13">
        <f>'BANCO XP RENATA'!H23</f>
        <v>2768239.3999999994</v>
      </c>
      <c r="E12" s="13">
        <f>'BANCO XP RENATA'!H32</f>
        <v>2768239.3999999994</v>
      </c>
      <c r="F12" s="13">
        <f>'BANCO XP RENATA'!H41</f>
        <v>2768239.3999999994</v>
      </c>
      <c r="G12" s="13">
        <f>'BANCO XP RENATA'!H50</f>
        <v>2768239.3999999994</v>
      </c>
      <c r="H12" s="13">
        <f>'BANCO XP RENATA'!H59</f>
        <v>2768239.3999999994</v>
      </c>
      <c r="I12" s="13">
        <f>'BANCO XP RENATA'!H68</f>
        <v>2768239.3999999994</v>
      </c>
      <c r="J12" s="13">
        <f>'BANCO XP RENATA'!H77</f>
        <v>2768239.3999999994</v>
      </c>
      <c r="K12" s="13">
        <f>'BANCO XP RENATA'!H86</f>
        <v>2768239.3999999994</v>
      </c>
      <c r="L12" s="13">
        <f>'BANCO XP RENATA'!H95</f>
        <v>2768239.3999999994</v>
      </c>
      <c r="M12" s="13">
        <f>'BANCO XP RENATA'!H104</f>
        <v>2768239.3999999994</v>
      </c>
    </row>
    <row r="13" spans="1:13" x14ac:dyDescent="0.3">
      <c r="A13" s="2" t="s">
        <v>3</v>
      </c>
      <c r="B13" s="13">
        <f>'BANCO XP RENATA'!H6</f>
        <v>695652.71</v>
      </c>
      <c r="C13" s="13">
        <f>'BANCO XP RENATA'!H15</f>
        <v>698000.33</v>
      </c>
      <c r="D13" s="13">
        <f>'BANCO XP RENATA'!H24</f>
        <v>698000.33</v>
      </c>
      <c r="E13" s="13">
        <f>'BANCO XP RENATA'!H33</f>
        <v>698000.33</v>
      </c>
      <c r="F13" s="13">
        <f>'BANCO XP RENATA'!H42</f>
        <v>698000.33</v>
      </c>
      <c r="G13" s="13">
        <f>'BANCO XP RENATA'!H51</f>
        <v>698000.33</v>
      </c>
      <c r="H13" s="13">
        <f>'BANCO XP RENATA'!H60</f>
        <v>698000.33</v>
      </c>
      <c r="I13" s="13">
        <f>'BANCO XP RENATA'!H69</f>
        <v>698000.33</v>
      </c>
      <c r="J13" s="13">
        <f>'BANCO XP RENATA'!H78</f>
        <v>698000.33</v>
      </c>
      <c r="K13" s="13">
        <f>'BANCO XP RENATA'!H87</f>
        <v>698000.33</v>
      </c>
      <c r="L13" s="13">
        <f>'BANCO XP RENATA'!H96</f>
        <v>698000.33</v>
      </c>
      <c r="M13" s="13">
        <f>'BANCO XP RENATA'!H105</f>
        <v>698000.33</v>
      </c>
    </row>
    <row r="14" spans="1:13" ht="28.8" x14ac:dyDescent="0.3">
      <c r="A14" s="2" t="s">
        <v>31</v>
      </c>
      <c r="B14" s="13">
        <f>'BANCO XP RENATA'!H7</f>
        <v>88804.34</v>
      </c>
      <c r="C14" s="13">
        <f>'BANCO XP RENATA'!H16</f>
        <v>89856.51</v>
      </c>
      <c r="D14" s="13">
        <f>'BANCO XP RENATA'!H25</f>
        <v>89856.51</v>
      </c>
      <c r="E14" s="13">
        <f>'BANCO XP RENATA'!H34</f>
        <v>89856.51</v>
      </c>
      <c r="F14" s="13">
        <f>'BANCO XP RENATA'!H43</f>
        <v>89856.51</v>
      </c>
      <c r="G14" s="13">
        <f>'BANCO XP RENATA'!H52</f>
        <v>89856.51</v>
      </c>
      <c r="H14" s="13">
        <f>'BANCO XP RENATA'!H61</f>
        <v>89856.51</v>
      </c>
      <c r="I14" s="13">
        <f>'BANCO XP RENATA'!H70</f>
        <v>89856.51</v>
      </c>
      <c r="J14" s="13">
        <f>'BANCO XP RENATA'!H79</f>
        <v>89856.51</v>
      </c>
      <c r="K14" s="13">
        <f>'BANCO XP RENATA'!H88</f>
        <v>89856.51</v>
      </c>
      <c r="L14" s="13">
        <f>'BANCO XP RENATA'!H97</f>
        <v>89856.51</v>
      </c>
      <c r="M14" s="13">
        <f>'BANCO XP RENATA'!H106</f>
        <v>89856.51</v>
      </c>
    </row>
    <row r="15" spans="1:13" x14ac:dyDescent="0.3">
      <c r="A15" s="2"/>
      <c r="B15" s="13">
        <f>'BANCO XP RENATA'!H8</f>
        <v>0</v>
      </c>
      <c r="C15" s="13">
        <f>'BANCO XP RENATA'!H17</f>
        <v>0</v>
      </c>
      <c r="D15" s="13">
        <f>'BANCO XP RENATA'!H26</f>
        <v>0</v>
      </c>
      <c r="E15" s="13">
        <f>'BANCO XP RENATA'!H35</f>
        <v>0</v>
      </c>
      <c r="F15" s="13">
        <f>'BANCO XP RENATA'!H44</f>
        <v>0</v>
      </c>
      <c r="G15" s="13">
        <f>'BANCO XP RENATA'!H53</f>
        <v>0</v>
      </c>
      <c r="H15" s="13">
        <f>'BANCO XP RENATA'!H62</f>
        <v>0</v>
      </c>
      <c r="I15" s="13">
        <f>'BANCO XP RENATA'!H71</f>
        <v>0</v>
      </c>
      <c r="J15" s="13">
        <f>'BANCO XP RENATA'!H80</f>
        <v>0</v>
      </c>
      <c r="K15" s="13">
        <f>'BANCO XP RENATA'!H89</f>
        <v>0</v>
      </c>
      <c r="L15" s="13">
        <f>'BANCO XP RENATA'!H98</f>
        <v>0</v>
      </c>
      <c r="M15" s="13">
        <f>'BANCO XP RENATA'!H107</f>
        <v>0</v>
      </c>
    </row>
    <row r="16" spans="1:13" ht="15" thickBot="1" x14ac:dyDescent="0.35">
      <c r="A16" s="2"/>
      <c r="B16" s="13">
        <f>'BANCO XP RENATA'!H9</f>
        <v>0</v>
      </c>
      <c r="C16" s="13">
        <f>'BANCO XP RENATA'!H18</f>
        <v>0</v>
      </c>
      <c r="D16" s="13">
        <f>'BANCO XP RENATA'!H27</f>
        <v>0</v>
      </c>
      <c r="E16" s="13">
        <f>'BANCO XP RENATA'!H36</f>
        <v>0</v>
      </c>
      <c r="F16" s="13">
        <f>'BANCO XP RENATA'!H45</f>
        <v>0</v>
      </c>
      <c r="G16" s="13">
        <f>'BANCO XP RENATA'!H54</f>
        <v>0</v>
      </c>
      <c r="H16" s="13">
        <f>'BANCO XP RENATA'!H63</f>
        <v>0</v>
      </c>
      <c r="I16" s="13">
        <f>'BANCO XP RENATA'!H72</f>
        <v>0</v>
      </c>
      <c r="J16" s="13">
        <f>'BANCO XP RENATA'!H81</f>
        <v>0</v>
      </c>
      <c r="K16" s="13">
        <f>'BANCO XP RENATA'!H90</f>
        <v>0</v>
      </c>
      <c r="L16" s="13">
        <f>'BANCO XP RENATA'!H99</f>
        <v>0</v>
      </c>
      <c r="M16" s="13">
        <f>'BANCO XP RENATA'!H108</f>
        <v>0</v>
      </c>
    </row>
    <row r="17" spans="1:13" ht="15" thickBot="1" x14ac:dyDescent="0.35">
      <c r="A17" s="60" t="s">
        <v>7</v>
      </c>
      <c r="B17" s="61">
        <f t="shared" ref="B17:M17" si="1">SUM(B11:B16)</f>
        <v>4117848.8599999994</v>
      </c>
      <c r="C17" s="61">
        <f t="shared" si="1"/>
        <v>4156362.5499999993</v>
      </c>
      <c r="D17" s="61">
        <f t="shared" si="1"/>
        <v>4156362.5499999993</v>
      </c>
      <c r="E17" s="61">
        <f t="shared" si="1"/>
        <v>4156362.5499999993</v>
      </c>
      <c r="F17" s="61">
        <f t="shared" si="1"/>
        <v>4156362.5499999993</v>
      </c>
      <c r="G17" s="61">
        <f t="shared" si="1"/>
        <v>4156362.5499999993</v>
      </c>
      <c r="H17" s="61">
        <f t="shared" si="1"/>
        <v>4156362.5499999993</v>
      </c>
      <c r="I17" s="61">
        <f t="shared" si="1"/>
        <v>4156362.5499999993</v>
      </c>
      <c r="J17" s="61">
        <f t="shared" si="1"/>
        <v>4156362.5499999993</v>
      </c>
      <c r="K17" s="61">
        <f t="shared" si="1"/>
        <v>4156362.5499999993</v>
      </c>
      <c r="L17" s="61">
        <f t="shared" si="1"/>
        <v>4156362.5499999993</v>
      </c>
      <c r="M17" s="61">
        <f t="shared" si="1"/>
        <v>4156362.5499999993</v>
      </c>
    </row>
    <row r="18" spans="1:13" ht="15" thickBot="1" x14ac:dyDescent="0.35"/>
    <row r="19" spans="1:13" x14ac:dyDescent="0.3">
      <c r="A19" s="38" t="s">
        <v>18</v>
      </c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3" ht="15" thickBot="1" x14ac:dyDescent="0.35">
      <c r="A20" s="41"/>
      <c r="B20" s="42">
        <v>45658</v>
      </c>
      <c r="C20" s="42">
        <v>45689</v>
      </c>
      <c r="D20" s="42">
        <v>45717</v>
      </c>
      <c r="E20" s="42">
        <v>45748</v>
      </c>
      <c r="F20" s="42">
        <v>45778</v>
      </c>
      <c r="G20" s="42">
        <v>45809</v>
      </c>
      <c r="H20" s="42">
        <v>45839</v>
      </c>
      <c r="I20" s="42">
        <v>45870</v>
      </c>
      <c r="J20" s="42">
        <v>45901</v>
      </c>
      <c r="K20" s="42">
        <v>45931</v>
      </c>
      <c r="L20" s="42">
        <v>45962</v>
      </c>
      <c r="M20" s="42">
        <v>45992</v>
      </c>
    </row>
    <row r="21" spans="1:13" ht="15" thickBot="1" x14ac:dyDescent="0.35">
      <c r="A21" s="37" t="s">
        <v>17</v>
      </c>
      <c r="B21" s="13">
        <f>'BANCO ITAÚ RENATA HELIO'!H4</f>
        <v>1245.19</v>
      </c>
      <c r="C21" s="13">
        <f>'BANCO ITAÚ RENATA HELIO'!H20</f>
        <v>1425.5500000000002</v>
      </c>
      <c r="D21" s="13">
        <f>'BANCO ITAÚ RENATA HELIO'!H36</f>
        <v>1425.5500000000002</v>
      </c>
      <c r="E21" s="13">
        <f>'BANCO ITAÚ RENATA HELIO'!H52</f>
        <v>1425.5500000000002</v>
      </c>
      <c r="F21" s="13">
        <f>'BANCO ITAÚ RENATA HELIO'!H68</f>
        <v>1425.5500000000002</v>
      </c>
      <c r="G21" s="13">
        <f>'BANCO ITAÚ RENATA HELIO'!H84</f>
        <v>1425.5500000000002</v>
      </c>
      <c r="H21" s="13">
        <f>'BANCO ITAÚ RENATA HELIO'!H100</f>
        <v>1425.5500000000002</v>
      </c>
      <c r="I21" s="13">
        <f>'BANCO ITAÚ RENATA HELIO'!H116</f>
        <v>1425.5500000000002</v>
      </c>
      <c r="J21" s="13">
        <f>'BANCO ITAÚ RENATA HELIO'!H132</f>
        <v>1425.5500000000002</v>
      </c>
      <c r="K21" s="13">
        <f>'BANCO ITAÚ RENATA HELIO'!H148</f>
        <v>1425.5500000000002</v>
      </c>
      <c r="L21" s="13">
        <f>'BANCO ITAÚ RENATA HELIO'!H164</f>
        <v>1425.5500000000002</v>
      </c>
      <c r="M21" s="13">
        <f>'BANCO ITAÚ RENATA HELIO'!H180</f>
        <v>1425.5500000000002</v>
      </c>
    </row>
    <row r="22" spans="1:13" ht="15" thickBot="1" x14ac:dyDescent="0.35">
      <c r="A22" s="37" t="s">
        <v>11</v>
      </c>
      <c r="B22" s="13">
        <f>'BANCO ITAÚ RENATA HELIO'!H5</f>
        <v>691003.88</v>
      </c>
      <c r="C22" s="13">
        <f>'BANCO ITAÚ RENATA HELIO'!H21</f>
        <v>697368.42</v>
      </c>
      <c r="D22" s="13">
        <f>'BANCO ITAÚ RENATA HELIO'!H37</f>
        <v>697368.42</v>
      </c>
      <c r="E22" s="13">
        <f>'BANCO ITAÚ RENATA HELIO'!H53</f>
        <v>697368.42</v>
      </c>
      <c r="F22" s="13">
        <f>'BANCO ITAÚ RENATA HELIO'!H69</f>
        <v>697368.42</v>
      </c>
      <c r="G22" s="13">
        <f>'BANCO ITAÚ RENATA HELIO'!H85</f>
        <v>697368.42</v>
      </c>
      <c r="H22" s="13">
        <f>'BANCO ITAÚ RENATA HELIO'!H101</f>
        <v>697368.42</v>
      </c>
      <c r="I22" s="13">
        <f>'BANCO ITAÚ RENATA HELIO'!H117</f>
        <v>697368.42</v>
      </c>
      <c r="J22" s="13">
        <f>'BANCO ITAÚ RENATA HELIO'!H133</f>
        <v>697368.42</v>
      </c>
      <c r="K22" s="13">
        <f>'BANCO ITAÚ RENATA HELIO'!H149</f>
        <v>697368.42</v>
      </c>
      <c r="L22" s="13">
        <f>'BANCO ITAÚ RENATA HELIO'!H165</f>
        <v>697368.42</v>
      </c>
      <c r="M22" s="13">
        <f>'BANCO ITAÚ RENATA HELIO'!H181</f>
        <v>697368.42</v>
      </c>
    </row>
    <row r="23" spans="1:13" ht="15" thickBot="1" x14ac:dyDescent="0.35">
      <c r="A23" s="37" t="s">
        <v>12</v>
      </c>
      <c r="B23" s="13">
        <f>'BANCO ITAÚ RENATA HELIO'!H6</f>
        <v>386192.93</v>
      </c>
      <c r="C23" s="13">
        <f>'BANCO ITAÚ RENATA HELIO'!H22</f>
        <v>389907.98</v>
      </c>
      <c r="D23" s="13">
        <f>'BANCO ITAÚ RENATA HELIO'!H38</f>
        <v>389907.98</v>
      </c>
      <c r="E23" s="13">
        <f>'BANCO ITAÚ RENATA HELIO'!H54</f>
        <v>389907.98</v>
      </c>
      <c r="F23" s="13">
        <f>'BANCO ITAÚ RENATA HELIO'!H70</f>
        <v>389907.98</v>
      </c>
      <c r="G23" s="13">
        <f>'BANCO ITAÚ RENATA HELIO'!H86</f>
        <v>389907.98</v>
      </c>
      <c r="H23" s="13">
        <f>'BANCO ITAÚ RENATA HELIO'!H102</f>
        <v>389907.98</v>
      </c>
      <c r="I23" s="13">
        <f>'BANCO ITAÚ RENATA HELIO'!H118</f>
        <v>389907.98</v>
      </c>
      <c r="J23" s="13">
        <f>'BANCO ITAÚ RENATA HELIO'!H134</f>
        <v>389907.98</v>
      </c>
      <c r="K23" s="13">
        <f>'BANCO ITAÚ RENATA HELIO'!H150</f>
        <v>389907.98</v>
      </c>
      <c r="L23" s="13">
        <f>'BANCO ITAÚ RENATA HELIO'!H166</f>
        <v>389907.98</v>
      </c>
      <c r="M23" s="13">
        <f>'BANCO ITAÚ RENATA HELIO'!H182</f>
        <v>389907.98</v>
      </c>
    </row>
    <row r="24" spans="1:13" ht="15" thickBot="1" x14ac:dyDescent="0.35">
      <c r="A24" s="37" t="s">
        <v>13</v>
      </c>
      <c r="B24" s="13">
        <f>'BANCO ITAÚ RENATA HELIO'!H7</f>
        <v>5943.13</v>
      </c>
      <c r="C24" s="13">
        <f>'BANCO ITAÚ RENATA HELIO'!H23</f>
        <v>6446.26</v>
      </c>
      <c r="D24" s="13">
        <f>'BANCO ITAÚ RENATA HELIO'!H39</f>
        <v>6446.26</v>
      </c>
      <c r="E24" s="13">
        <f>'BANCO ITAÚ RENATA HELIO'!H55</f>
        <v>6446.26</v>
      </c>
      <c r="F24" s="13">
        <f>'BANCO ITAÚ RENATA HELIO'!H71</f>
        <v>6446.26</v>
      </c>
      <c r="G24" s="13">
        <f>'BANCO ITAÚ RENATA HELIO'!H87</f>
        <v>6446.26</v>
      </c>
      <c r="H24" s="13">
        <f>'BANCO ITAÚ RENATA HELIO'!H103</f>
        <v>6446.26</v>
      </c>
      <c r="I24" s="13">
        <f>'BANCO ITAÚ RENATA HELIO'!H119</f>
        <v>6446.26</v>
      </c>
      <c r="J24" s="13">
        <f>'BANCO ITAÚ RENATA HELIO'!H135</f>
        <v>6446.26</v>
      </c>
      <c r="K24" s="13">
        <f>'BANCO ITAÚ RENATA HELIO'!H151</f>
        <v>6446.26</v>
      </c>
      <c r="L24" s="13">
        <f>'BANCO ITAÚ RENATA HELIO'!H167</f>
        <v>6446.26</v>
      </c>
      <c r="M24" s="13">
        <f>'BANCO ITAÚ RENATA HELIO'!H183</f>
        <v>6446.26</v>
      </c>
    </row>
    <row r="25" spans="1:13" ht="15" thickBot="1" x14ac:dyDescent="0.35">
      <c r="A25" s="37" t="s">
        <v>14</v>
      </c>
      <c r="B25" s="13">
        <f>'BANCO ITAÚ RENATA HELIO'!H8</f>
        <v>203631.92</v>
      </c>
      <c r="C25" s="13">
        <f>'BANCO ITAÚ RENATA HELIO'!H24</f>
        <v>205490.17</v>
      </c>
      <c r="D25" s="13">
        <f>'BANCO ITAÚ RENATA HELIO'!H40</f>
        <v>205490.17</v>
      </c>
      <c r="E25" s="13">
        <f>'BANCO ITAÚ RENATA HELIO'!H56</f>
        <v>205490.17</v>
      </c>
      <c r="F25" s="13">
        <f>'BANCO ITAÚ RENATA HELIO'!H72</f>
        <v>205490.17</v>
      </c>
      <c r="G25" s="13">
        <f>'BANCO ITAÚ RENATA HELIO'!H88</f>
        <v>205490.17</v>
      </c>
      <c r="H25" s="13">
        <f>'BANCO ITAÚ RENATA HELIO'!H104</f>
        <v>205490.17</v>
      </c>
      <c r="I25" s="13">
        <f>'BANCO ITAÚ RENATA HELIO'!H120</f>
        <v>205490.17</v>
      </c>
      <c r="J25" s="13">
        <f>'BANCO ITAÚ RENATA HELIO'!H136</f>
        <v>205490.17</v>
      </c>
      <c r="K25" s="13">
        <f>'BANCO ITAÚ RENATA HELIO'!H152</f>
        <v>205490.17</v>
      </c>
      <c r="L25" s="13">
        <f>'BANCO ITAÚ RENATA HELIO'!H168</f>
        <v>205490.17</v>
      </c>
      <c r="M25" s="13">
        <f>'BANCO ITAÚ RENATA HELIO'!H184</f>
        <v>205490.17</v>
      </c>
    </row>
    <row r="26" spans="1:13" ht="15" thickBot="1" x14ac:dyDescent="0.35">
      <c r="A26" s="37" t="s">
        <v>15</v>
      </c>
      <c r="B26" s="13">
        <f>'BANCO ITAÚ RENATA HELIO'!H9</f>
        <v>238135.85</v>
      </c>
      <c r="C26" s="13">
        <f>'BANCO ITAÚ RENATA HELIO'!H25</f>
        <v>170064.7</v>
      </c>
      <c r="D26" s="13">
        <f>'BANCO ITAÚ RENATA HELIO'!H41</f>
        <v>1970064.7</v>
      </c>
      <c r="E26" s="13">
        <f>'BANCO ITAÚ RENATA HELIO'!H57</f>
        <v>1970064.7</v>
      </c>
      <c r="F26" s="13">
        <f>'BANCO ITAÚ RENATA HELIO'!H73</f>
        <v>1970064.7</v>
      </c>
      <c r="G26" s="13">
        <f>'BANCO ITAÚ RENATA HELIO'!H89</f>
        <v>1970064.7</v>
      </c>
      <c r="H26" s="13">
        <f>'BANCO ITAÚ RENATA HELIO'!H105</f>
        <v>1970064.7</v>
      </c>
      <c r="I26" s="13">
        <f>'BANCO ITAÚ RENATA HELIO'!H121</f>
        <v>1970064.7</v>
      </c>
      <c r="J26" s="13">
        <f>'BANCO ITAÚ RENATA HELIO'!H137</f>
        <v>1970064.7</v>
      </c>
      <c r="K26" s="13">
        <f>'BANCO ITAÚ RENATA HELIO'!H153</f>
        <v>1970064.7</v>
      </c>
      <c r="L26" s="13">
        <f>'BANCO ITAÚ RENATA HELIO'!H169</f>
        <v>1970064.7</v>
      </c>
      <c r="M26" s="13">
        <f>'BANCO ITAÚ RENATA HELIO'!H185</f>
        <v>1970064.7</v>
      </c>
    </row>
    <row r="27" spans="1:13" ht="29.4" thickBot="1" x14ac:dyDescent="0.35">
      <c r="A27" s="37" t="s">
        <v>16</v>
      </c>
      <c r="B27" s="13">
        <f>'BANCO ITAÚ RENATA HELIO'!H10</f>
        <v>6772682.3200000003</v>
      </c>
      <c r="C27" s="13">
        <f>'BANCO ITAÚ RENATA HELIO'!H26</f>
        <v>6826823.2700000005</v>
      </c>
      <c r="D27" s="13">
        <f>'BANCO ITAÚ RENATA HELIO'!H42</f>
        <v>5285853.3600000003</v>
      </c>
      <c r="E27" s="13">
        <f>'BANCO ITAÚ RENATA HELIO'!H58</f>
        <v>5285853.3600000003</v>
      </c>
      <c r="F27" s="13">
        <f>'BANCO ITAÚ RENATA HELIO'!H74</f>
        <v>5285853.3600000003</v>
      </c>
      <c r="G27" s="13">
        <f>'BANCO ITAÚ RENATA HELIO'!H90</f>
        <v>5285853.3600000003</v>
      </c>
      <c r="H27" s="13">
        <f>'BANCO ITAÚ RENATA HELIO'!H106</f>
        <v>5285853.3600000003</v>
      </c>
      <c r="I27" s="13">
        <f>'BANCO ITAÚ RENATA HELIO'!H122</f>
        <v>5285853.3600000003</v>
      </c>
      <c r="J27" s="13">
        <f>'BANCO ITAÚ RENATA HELIO'!H138</f>
        <v>5285853.3600000003</v>
      </c>
      <c r="K27" s="13">
        <f>'BANCO ITAÚ RENATA HELIO'!H154</f>
        <v>5285853.3600000003</v>
      </c>
      <c r="L27" s="13">
        <f>'BANCO ITAÚ RENATA HELIO'!H170</f>
        <v>5285853.3600000003</v>
      </c>
      <c r="M27" s="13">
        <f>'BANCO ITAÚ RENATA HELIO'!H186</f>
        <v>5285853.3600000003</v>
      </c>
    </row>
    <row r="28" spans="1:13" ht="15" thickBot="1" x14ac:dyDescent="0.35">
      <c r="A28" s="37" t="s">
        <v>32</v>
      </c>
      <c r="B28" s="13">
        <f>'BANCO ITAÚ RENATA HELIO'!H11</f>
        <v>630587.53</v>
      </c>
      <c r="C28" s="13">
        <f>'BANCO ITAÚ RENATA HELIO'!H27</f>
        <v>637993.57000000007</v>
      </c>
      <c r="D28" s="13">
        <f>'BANCO ITAÚ RENATA HELIO'!H43</f>
        <v>637993.57000000007</v>
      </c>
      <c r="E28" s="13">
        <f>'BANCO ITAÚ RENATA HELIO'!H59</f>
        <v>637993.57000000007</v>
      </c>
      <c r="F28" s="13">
        <f>'BANCO ITAÚ RENATA HELIO'!H75</f>
        <v>637993.57000000007</v>
      </c>
      <c r="G28" s="13">
        <f>'BANCO ITAÚ RENATA HELIO'!H91</f>
        <v>637993.57000000007</v>
      </c>
      <c r="H28" s="13">
        <f>'BANCO ITAÚ RENATA HELIO'!H107</f>
        <v>637993.57000000007</v>
      </c>
      <c r="I28" s="13">
        <f>'BANCO ITAÚ RENATA HELIO'!H123</f>
        <v>637993.57000000007</v>
      </c>
      <c r="J28" s="13">
        <f>'BANCO ITAÚ RENATA HELIO'!H139</f>
        <v>637993.57000000007</v>
      </c>
      <c r="K28" s="13">
        <f>'BANCO ITAÚ RENATA HELIO'!H155</f>
        <v>637993.57000000007</v>
      </c>
      <c r="L28" s="13">
        <f>'BANCO ITAÚ RENATA HELIO'!H171</f>
        <v>637993.57000000007</v>
      </c>
      <c r="M28" s="13">
        <f>'BANCO ITAÚ RENATA HELIO'!H187</f>
        <v>637993.57000000007</v>
      </c>
    </row>
    <row r="29" spans="1:13" ht="15" thickBot="1" x14ac:dyDescent="0.35">
      <c r="A29" s="37" t="s">
        <v>33</v>
      </c>
      <c r="B29" s="13">
        <f>'BANCO ITAÚ RENATA HELIO'!H12</f>
        <v>85543.64</v>
      </c>
      <c r="C29" s="13">
        <f>'BANCO ITAÚ RENATA HELIO'!H28</f>
        <v>48359.56</v>
      </c>
      <c r="D29" s="13">
        <f>'BANCO ITAÚ RENATA HELIO'!H44</f>
        <v>21958.909999999996</v>
      </c>
      <c r="E29" s="13">
        <f>'BANCO ITAÚ RENATA HELIO'!H60</f>
        <v>21958.909999999996</v>
      </c>
      <c r="F29" s="13">
        <f>'BANCO ITAÚ RENATA HELIO'!H76</f>
        <v>21958.909999999996</v>
      </c>
      <c r="G29" s="13">
        <f>'BANCO ITAÚ RENATA HELIO'!H92</f>
        <v>21958.909999999996</v>
      </c>
      <c r="H29" s="13">
        <f>'BANCO ITAÚ RENATA HELIO'!H108</f>
        <v>21958.909999999996</v>
      </c>
      <c r="I29" s="13">
        <f>'BANCO ITAÚ RENATA HELIO'!H124</f>
        <v>21958.909999999996</v>
      </c>
      <c r="J29" s="13">
        <f>'BANCO ITAÚ RENATA HELIO'!H140</f>
        <v>21958.909999999996</v>
      </c>
      <c r="K29" s="13">
        <f>'BANCO ITAÚ RENATA HELIO'!H156</f>
        <v>21958.909999999996</v>
      </c>
      <c r="L29" s="13">
        <f>'BANCO ITAÚ RENATA HELIO'!H172</f>
        <v>21958.909999999996</v>
      </c>
      <c r="M29" s="13">
        <f>'BANCO ITAÚ RENATA HELIO'!H188</f>
        <v>21958.909999999996</v>
      </c>
    </row>
    <row r="30" spans="1:13" ht="15" thickBot="1" x14ac:dyDescent="0.35">
      <c r="A30" s="37" t="s">
        <v>34</v>
      </c>
      <c r="B30" s="13">
        <f>'BANCO ITAÚ RENATA HELIO'!H13</f>
        <v>4696.9399999999996</v>
      </c>
      <c r="C30" s="13">
        <f>'BANCO ITAÚ RENATA HELIO'!H29</f>
        <v>-1.1013412404281553E-13</v>
      </c>
      <c r="D30" s="13">
        <f>'BANCO ITAÚ RENATA HELIO'!H45</f>
        <v>-1.1013412404281553E-13</v>
      </c>
      <c r="E30" s="13">
        <f>'BANCO ITAÚ RENATA HELIO'!H61</f>
        <v>-1.1013412404281553E-13</v>
      </c>
      <c r="F30" s="13">
        <f>'BANCO ITAÚ RENATA HELIO'!H77</f>
        <v>-1.1013412404281553E-13</v>
      </c>
      <c r="G30" s="13">
        <f>'BANCO ITAÚ RENATA HELIO'!H93</f>
        <v>-1.1013412404281553E-13</v>
      </c>
      <c r="H30" s="13">
        <f>'BANCO ITAÚ RENATA HELIO'!H109</f>
        <v>-1.1013412404281553E-13</v>
      </c>
      <c r="I30" s="13">
        <f>'BANCO ITAÚ RENATA HELIO'!H125</f>
        <v>-1.1013412404281553E-13</v>
      </c>
      <c r="J30" s="13">
        <f>'BANCO ITAÚ RENATA HELIO'!H141</f>
        <v>-1.1013412404281553E-13</v>
      </c>
      <c r="K30" s="13">
        <f>'BANCO ITAÚ RENATA HELIO'!H157</f>
        <v>-1.1013412404281553E-13</v>
      </c>
      <c r="L30" s="13">
        <f>'BANCO ITAÚ RENATA HELIO'!H173</f>
        <v>-1.1013412404281553E-13</v>
      </c>
      <c r="M30" s="13">
        <f>'BANCO ITAÚ RENATA HELIO'!H189</f>
        <v>-1.1013412404281553E-13</v>
      </c>
    </row>
    <row r="31" spans="1:13" ht="15" thickBot="1" x14ac:dyDescent="0.35">
      <c r="A31" s="37" t="s">
        <v>38</v>
      </c>
      <c r="B31" s="13">
        <f>'BANCO ITAÚ RENATA HELIO'!H14</f>
        <v>254847.93</v>
      </c>
      <c r="C31" s="13">
        <f>'BANCO ITAÚ RENATA HELIO'!H30</f>
        <v>251124.69</v>
      </c>
      <c r="D31" s="13">
        <f>'BANCO ITAÚ RENATA HELIO'!H46</f>
        <v>251124.69</v>
      </c>
      <c r="E31" s="13">
        <f>'BANCO ITAÚ RENATA HELIO'!H62</f>
        <v>251124.69</v>
      </c>
      <c r="F31" s="13">
        <f>'BANCO ITAÚ RENATA HELIO'!H78</f>
        <v>251124.69</v>
      </c>
      <c r="G31" s="13">
        <f>'BANCO ITAÚ RENATA HELIO'!H94</f>
        <v>251124.69</v>
      </c>
      <c r="H31" s="13">
        <f>'BANCO ITAÚ RENATA HELIO'!H110</f>
        <v>251124.69</v>
      </c>
      <c r="I31" s="13">
        <f>'BANCO ITAÚ RENATA HELIO'!H126</f>
        <v>251124.69</v>
      </c>
      <c r="J31" s="13">
        <f>'BANCO ITAÚ RENATA HELIO'!H142</f>
        <v>251124.69</v>
      </c>
      <c r="K31" s="13">
        <f>'BANCO ITAÚ RENATA HELIO'!H158</f>
        <v>251124.69</v>
      </c>
      <c r="L31" s="13">
        <f>'BANCO ITAÚ RENATA HELIO'!H174</f>
        <v>251124.69</v>
      </c>
      <c r="M31" s="13">
        <f>'BANCO ITAÚ RENATA HELIO'!H190</f>
        <v>251124.69</v>
      </c>
    </row>
    <row r="32" spans="1:13" ht="15" thickBot="1" x14ac:dyDescent="0.35">
      <c r="A32" s="104"/>
      <c r="B32" s="13"/>
      <c r="C32" s="12"/>
      <c r="D32" s="12"/>
      <c r="E32" s="12"/>
      <c r="F32" s="12"/>
      <c r="G32" s="12"/>
      <c r="H32" s="12"/>
      <c r="I32" s="12"/>
      <c r="J32" s="12"/>
      <c r="K32" s="13"/>
      <c r="L32" s="13"/>
      <c r="M32" s="13"/>
    </row>
    <row r="33" spans="1:13" ht="15" thickBot="1" x14ac:dyDescent="0.35">
      <c r="A33" s="104"/>
      <c r="B33" s="13"/>
      <c r="C33" s="12"/>
      <c r="D33" s="12"/>
      <c r="E33" s="12"/>
      <c r="F33" s="12"/>
      <c r="G33" s="12"/>
      <c r="H33" s="12"/>
      <c r="I33" s="12"/>
      <c r="J33" s="12"/>
      <c r="K33" s="13"/>
      <c r="L33" s="13"/>
      <c r="M33" s="13"/>
    </row>
    <row r="34" spans="1:13" ht="15" thickBot="1" x14ac:dyDescent="0.35">
      <c r="A34" s="76" t="s">
        <v>7</v>
      </c>
      <c r="B34" s="131">
        <f>SUM(B21:B31)</f>
        <v>9274511.2599999998</v>
      </c>
      <c r="C34" s="131">
        <f t="shared" ref="C34:I34" si="2">SUM(C21:C31)</f>
        <v>9235004.1699999999</v>
      </c>
      <c r="D34" s="131">
        <f t="shared" si="2"/>
        <v>9467633.6100000013</v>
      </c>
      <c r="E34" s="131">
        <f t="shared" si="2"/>
        <v>9467633.6100000013</v>
      </c>
      <c r="F34" s="131">
        <f t="shared" si="2"/>
        <v>9467633.6100000013</v>
      </c>
      <c r="G34" s="131">
        <f t="shared" si="2"/>
        <v>9467633.6100000013</v>
      </c>
      <c r="H34" s="131">
        <f t="shared" si="2"/>
        <v>9467633.6100000013</v>
      </c>
      <c r="I34" s="131">
        <f t="shared" si="2"/>
        <v>9467633.6100000013</v>
      </c>
      <c r="J34" s="131">
        <f>SUM(J21:J33)</f>
        <v>9467633.6100000013</v>
      </c>
      <c r="K34" s="77">
        <f>SUM(K21:K33)</f>
        <v>9467633.6100000013</v>
      </c>
      <c r="L34" s="77">
        <f>SUM(L21:L33)</f>
        <v>9467633.6100000013</v>
      </c>
      <c r="M34" s="77">
        <f>SUM(M21:M33)</f>
        <v>9467633.6100000013</v>
      </c>
    </row>
    <row r="35" spans="1:13" ht="15" thickBot="1" x14ac:dyDescent="0.35"/>
    <row r="36" spans="1:13" x14ac:dyDescent="0.3">
      <c r="A36" s="51" t="s">
        <v>22</v>
      </c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1:13" ht="15" thickBot="1" x14ac:dyDescent="0.35">
      <c r="A37" s="54"/>
      <c r="B37" s="55">
        <v>45658</v>
      </c>
      <c r="C37" s="55">
        <v>45689</v>
      </c>
      <c r="D37" s="55">
        <v>45717</v>
      </c>
      <c r="E37" s="55">
        <v>45748</v>
      </c>
      <c r="F37" s="55">
        <v>45778</v>
      </c>
      <c r="G37" s="55">
        <v>45809</v>
      </c>
      <c r="H37" s="55">
        <v>45839</v>
      </c>
      <c r="I37" s="55">
        <v>45870</v>
      </c>
      <c r="J37" s="55">
        <v>45901</v>
      </c>
      <c r="K37" s="55">
        <v>45931</v>
      </c>
      <c r="L37" s="55">
        <v>45962</v>
      </c>
      <c r="M37" s="55">
        <v>45992</v>
      </c>
    </row>
    <row r="38" spans="1:13" ht="15" thickBot="1" x14ac:dyDescent="0.35">
      <c r="A38" s="37" t="s">
        <v>21</v>
      </c>
      <c r="B38" s="13">
        <f>SICOOB!H4</f>
        <v>1285909.56</v>
      </c>
      <c r="C38" s="13">
        <f>SICOOB!H10</f>
        <v>1300989.1200000001</v>
      </c>
      <c r="D38" s="13">
        <f>SICOOB!H16</f>
        <v>1300989.1200000001</v>
      </c>
      <c r="E38" s="13">
        <f>SICOOB!H22</f>
        <v>1300989.1200000001</v>
      </c>
      <c r="F38" s="13">
        <f>SICOOB!H28</f>
        <v>1300989.1200000001</v>
      </c>
      <c r="G38" s="13">
        <f>SICOOB!H34</f>
        <v>1300989.1200000001</v>
      </c>
      <c r="H38" s="13">
        <f>SICOOB!H40</f>
        <v>1300989.1200000001</v>
      </c>
      <c r="I38" s="13">
        <f>SICOOB!H46</f>
        <v>1300989.1200000001</v>
      </c>
      <c r="J38" s="13">
        <f>SICOOB!H52</f>
        <v>1300989.1200000001</v>
      </c>
      <c r="K38" s="13">
        <f>SICOOB!H58</f>
        <v>1300989.1200000001</v>
      </c>
      <c r="L38" s="13">
        <f>SICOOB!H64</f>
        <v>1300989.1200000001</v>
      </c>
      <c r="M38" s="13">
        <f>SICOOB!H69</f>
        <v>1300989.1200000001</v>
      </c>
    </row>
    <row r="39" spans="1:13" ht="15" thickBot="1" x14ac:dyDescent="0.35">
      <c r="A39" s="37"/>
      <c r="B39" s="13">
        <f>SICOOB!H5</f>
        <v>0</v>
      </c>
      <c r="C39" s="13">
        <f>SICOOB!H11</f>
        <v>0</v>
      </c>
      <c r="D39" s="13">
        <f>SICOOB!H17</f>
        <v>0</v>
      </c>
      <c r="E39" s="13">
        <f>SICOOB!H23</f>
        <v>0</v>
      </c>
      <c r="F39" s="13">
        <f>SICOOB!H29</f>
        <v>0</v>
      </c>
      <c r="G39" s="13">
        <f>SICOOB!H35</f>
        <v>0</v>
      </c>
      <c r="H39" s="13">
        <f>SICOOB!H41</f>
        <v>0</v>
      </c>
      <c r="I39" s="13">
        <f>SICOOB!H47</f>
        <v>0</v>
      </c>
      <c r="J39" s="13">
        <f>SICOOB!H53</f>
        <v>0</v>
      </c>
      <c r="K39" s="13">
        <f>SICOOB!H59</f>
        <v>0</v>
      </c>
      <c r="L39" s="13">
        <f>SICOOB!H65</f>
        <v>0</v>
      </c>
      <c r="M39" s="13"/>
    </row>
    <row r="40" spans="1:13" ht="15" thickBot="1" x14ac:dyDescent="0.35">
      <c r="A40" s="37"/>
      <c r="B40" s="13">
        <f>SICOOB!H6</f>
        <v>0</v>
      </c>
      <c r="C40" s="13">
        <f>SICOOB!H12</f>
        <v>0</v>
      </c>
      <c r="D40" s="13">
        <f>SICOOB!H18</f>
        <v>0</v>
      </c>
      <c r="E40" s="13">
        <f>SICOOB!H24</f>
        <v>0</v>
      </c>
      <c r="F40" s="13">
        <f>SICOOB!H30</f>
        <v>0</v>
      </c>
      <c r="G40" s="13">
        <f>SICOOB!H36</f>
        <v>0</v>
      </c>
      <c r="H40" s="13">
        <f>SICOOB!H42</f>
        <v>0</v>
      </c>
      <c r="I40" s="13">
        <f>SICOOB!H48</f>
        <v>0</v>
      </c>
      <c r="J40" s="13">
        <f>SICOOB!H54</f>
        <v>0</v>
      </c>
      <c r="K40" s="13">
        <f>SICOOB!H60</f>
        <v>0</v>
      </c>
      <c r="L40" s="13">
        <f>SICOOB!H66</f>
        <v>0</v>
      </c>
      <c r="M40" s="13">
        <f>SICOOB!H71</f>
        <v>0</v>
      </c>
    </row>
    <row r="41" spans="1:13" ht="15" thickBot="1" x14ac:dyDescent="0.35">
      <c r="A41" s="54" t="s">
        <v>7</v>
      </c>
      <c r="B41" s="98">
        <f>SUM(B38:B40)</f>
        <v>1285909.56</v>
      </c>
      <c r="C41" s="98">
        <f>SUM(C38:C40)</f>
        <v>1300989.1200000001</v>
      </c>
      <c r="D41" s="98">
        <f t="shared" ref="D41:M41" si="3">SUM(D38:D40)</f>
        <v>1300989.1200000001</v>
      </c>
      <c r="E41" s="98">
        <f t="shared" si="3"/>
        <v>1300989.1200000001</v>
      </c>
      <c r="F41" s="98">
        <f t="shared" si="3"/>
        <v>1300989.1200000001</v>
      </c>
      <c r="G41" s="98">
        <f t="shared" si="3"/>
        <v>1300989.1200000001</v>
      </c>
      <c r="H41" s="98">
        <f t="shared" si="3"/>
        <v>1300989.1200000001</v>
      </c>
      <c r="I41" s="98">
        <f t="shared" si="3"/>
        <v>1300989.1200000001</v>
      </c>
      <c r="J41" s="98">
        <f t="shared" si="3"/>
        <v>1300989.1200000001</v>
      </c>
      <c r="K41" s="98">
        <f t="shared" si="3"/>
        <v>1300989.1200000001</v>
      </c>
      <c r="L41" s="98">
        <f t="shared" si="3"/>
        <v>1300989.1200000001</v>
      </c>
      <c r="M41" s="98">
        <f t="shared" si="3"/>
        <v>1300989.1200000001</v>
      </c>
    </row>
    <row r="42" spans="1:13" x14ac:dyDescent="0.3">
      <c r="A42" s="78" t="s">
        <v>25</v>
      </c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</row>
    <row r="43" spans="1:13" ht="15" thickBot="1" x14ac:dyDescent="0.35">
      <c r="A43" s="81"/>
      <c r="B43" s="105">
        <v>45658</v>
      </c>
      <c r="C43" s="105">
        <v>45689</v>
      </c>
      <c r="D43" s="105">
        <v>45717</v>
      </c>
      <c r="E43" s="105">
        <v>45748</v>
      </c>
      <c r="F43" s="105">
        <v>45778</v>
      </c>
      <c r="G43" s="105">
        <v>45809</v>
      </c>
      <c r="H43" s="105">
        <v>45839</v>
      </c>
      <c r="I43" s="105">
        <v>45870</v>
      </c>
      <c r="J43" s="105">
        <v>45901</v>
      </c>
      <c r="K43" s="105">
        <v>45931</v>
      </c>
      <c r="L43" s="105">
        <v>45962</v>
      </c>
      <c r="M43" s="105">
        <v>45992</v>
      </c>
    </row>
    <row r="44" spans="1:13" ht="15" thickBot="1" x14ac:dyDescent="0.35">
      <c r="A44" s="104" t="s">
        <v>21</v>
      </c>
      <c r="B44" s="12">
        <f>SAFRA!H4</f>
        <v>1389263.2</v>
      </c>
      <c r="C44" s="12">
        <f>SAFRA!H10</f>
        <v>1235751.47</v>
      </c>
      <c r="D44" s="12">
        <f>SAFRA!H16</f>
        <v>894515.45</v>
      </c>
      <c r="E44" s="12">
        <f>SAFRA!H22</f>
        <v>894515.45</v>
      </c>
      <c r="F44" s="12">
        <f>SAFRA!H28</f>
        <v>894515.45</v>
      </c>
      <c r="G44" s="12">
        <f>SAFRA!H34</f>
        <v>894515.45</v>
      </c>
      <c r="H44" s="12">
        <f>SAFRA!H40</f>
        <v>894515.45</v>
      </c>
      <c r="I44" s="12">
        <f>SAFRA!H46</f>
        <v>894515.45</v>
      </c>
      <c r="J44" s="12">
        <f>SAFRA!H52</f>
        <v>894515.45</v>
      </c>
      <c r="K44" s="12">
        <f>SAFRA!H58</f>
        <v>894515.45</v>
      </c>
      <c r="L44" s="12">
        <f>SAFRA!H64</f>
        <v>894515.45</v>
      </c>
      <c r="M44" s="12">
        <f>SAFRA!H70</f>
        <v>894515.45</v>
      </c>
    </row>
    <row r="45" spans="1:13" ht="15" thickBot="1" x14ac:dyDescent="0.35">
      <c r="A45" s="104" t="s">
        <v>26</v>
      </c>
      <c r="B45" s="12">
        <f>SAFRA!H5</f>
        <v>119009.3</v>
      </c>
      <c r="C45" s="12">
        <f>SAFRA!H11</f>
        <v>120446.5</v>
      </c>
      <c r="D45" s="12">
        <f>SAFRA!H17</f>
        <v>61306.78</v>
      </c>
      <c r="E45" s="12">
        <f>SAFRA!H23</f>
        <v>61306.78</v>
      </c>
      <c r="F45" s="12">
        <f>SAFRA!H29</f>
        <v>61306.78</v>
      </c>
      <c r="G45" s="12">
        <f>SAFRA!H35</f>
        <v>61306.78</v>
      </c>
      <c r="H45" s="12">
        <f>SAFRA!H41</f>
        <v>61306.78</v>
      </c>
      <c r="I45" s="12">
        <f>SAFRA!H47</f>
        <v>61306.78</v>
      </c>
      <c r="J45" s="12">
        <f>SAFRA!H53</f>
        <v>61306.78</v>
      </c>
      <c r="K45" s="12">
        <f>SAFRA!H59</f>
        <v>61306.78</v>
      </c>
      <c r="L45" s="12">
        <f>SAFRA!H65</f>
        <v>61306.78</v>
      </c>
      <c r="M45" s="12">
        <f>SAFRA!H71</f>
        <v>61306.78</v>
      </c>
    </row>
    <row r="46" spans="1:13" ht="15" thickBot="1" x14ac:dyDescent="0.35">
      <c r="A46" s="114"/>
      <c r="B46" s="115">
        <f>SAFRA!H6</f>
        <v>0</v>
      </c>
      <c r="C46" s="115">
        <f>SAFRA!H12</f>
        <v>0</v>
      </c>
      <c r="D46" s="115">
        <f>SAFRA!H18</f>
        <v>0</v>
      </c>
      <c r="E46" s="115">
        <f>SAFRA!H24</f>
        <v>0</v>
      </c>
      <c r="F46" s="115">
        <f>SAFRA!H30</f>
        <v>0</v>
      </c>
      <c r="G46" s="115">
        <f>SAFRA!H36</f>
        <v>0</v>
      </c>
      <c r="H46" s="115">
        <f>SAFRA!H42</f>
        <v>0</v>
      </c>
      <c r="I46" s="115">
        <f>SAFRA!H48</f>
        <v>0</v>
      </c>
      <c r="J46" s="115">
        <f>SAFRA!H54</f>
        <v>0</v>
      </c>
      <c r="K46" s="115">
        <f>SAFRA!H60</f>
        <v>0</v>
      </c>
      <c r="L46" s="115">
        <f>SAFRA!H66</f>
        <v>0</v>
      </c>
      <c r="M46" s="115">
        <f>SAFRA!H72</f>
        <v>0</v>
      </c>
    </row>
    <row r="47" spans="1:13" ht="15" thickBot="1" x14ac:dyDescent="0.35">
      <c r="A47" s="117" t="s">
        <v>7</v>
      </c>
      <c r="B47" s="118">
        <f>SUM(B44:B46)</f>
        <v>1508272.5</v>
      </c>
      <c r="C47" s="118">
        <f>SUM(C44:C46)</f>
        <v>1356197.97</v>
      </c>
      <c r="D47" s="118">
        <f t="shared" ref="D47:M47" si="4">SUM(D44:D46)</f>
        <v>955822.23</v>
      </c>
      <c r="E47" s="118">
        <f t="shared" si="4"/>
        <v>955822.23</v>
      </c>
      <c r="F47" s="118">
        <f t="shared" si="4"/>
        <v>955822.23</v>
      </c>
      <c r="G47" s="118">
        <f t="shared" si="4"/>
        <v>955822.23</v>
      </c>
      <c r="H47" s="118">
        <f t="shared" si="4"/>
        <v>955822.23</v>
      </c>
      <c r="I47" s="118">
        <f t="shared" si="4"/>
        <v>955822.23</v>
      </c>
      <c r="J47" s="118">
        <f t="shared" si="4"/>
        <v>955822.23</v>
      </c>
      <c r="K47" s="118">
        <f t="shared" si="4"/>
        <v>955822.23</v>
      </c>
      <c r="L47" s="118">
        <f t="shared" si="4"/>
        <v>955822.23</v>
      </c>
      <c r="M47" s="119">
        <f t="shared" si="4"/>
        <v>955822.23</v>
      </c>
    </row>
    <row r="48" spans="1:13" x14ac:dyDescent="0.3">
      <c r="A48" s="116" t="s">
        <v>25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</row>
    <row r="49" spans="1:13" ht="15" thickBot="1" x14ac:dyDescent="0.35">
      <c r="A49" s="90"/>
      <c r="B49" s="91">
        <v>45658</v>
      </c>
      <c r="C49" s="91">
        <v>45689</v>
      </c>
      <c r="D49" s="91">
        <v>45717</v>
      </c>
      <c r="E49" s="91">
        <v>45748</v>
      </c>
      <c r="F49" s="91">
        <v>45778</v>
      </c>
      <c r="G49" s="91">
        <v>45809</v>
      </c>
      <c r="H49" s="91">
        <v>45839</v>
      </c>
      <c r="I49" s="91">
        <v>45870</v>
      </c>
      <c r="J49" s="91">
        <v>45901</v>
      </c>
      <c r="K49" s="91">
        <v>45931</v>
      </c>
      <c r="L49" s="91">
        <v>45962</v>
      </c>
      <c r="M49" s="91">
        <v>45992</v>
      </c>
    </row>
    <row r="50" spans="1:13" ht="15" thickBot="1" x14ac:dyDescent="0.35">
      <c r="A50" s="37" t="s">
        <v>27</v>
      </c>
      <c r="B50" s="12">
        <f>SANTANDER!H5</f>
        <v>2745346.61</v>
      </c>
      <c r="C50" s="12">
        <f>SANTANDER!H15</f>
        <v>2745923.8</v>
      </c>
      <c r="D50" s="12">
        <f>SANTANDER!H25</f>
        <v>2745923.8</v>
      </c>
      <c r="E50" s="12">
        <f>SANTANDER!H35</f>
        <v>2745923.8</v>
      </c>
      <c r="F50" s="12">
        <f>SANTANDER!H45</f>
        <v>2745923.8</v>
      </c>
      <c r="G50" s="12">
        <f>SANTANDER!H55</f>
        <v>2745923.8</v>
      </c>
      <c r="H50" s="12">
        <f>SANTANDER!H65</f>
        <v>2745923.8</v>
      </c>
      <c r="I50" s="12">
        <f>SANTANDER!H75</f>
        <v>2745923.8</v>
      </c>
      <c r="J50" s="12">
        <f>SANTANDER!H85</f>
        <v>2745923.8</v>
      </c>
      <c r="K50" s="12">
        <f>SANTANDER!H95</f>
        <v>2745923.8</v>
      </c>
      <c r="L50" s="12">
        <f>SANTANDER!H105</f>
        <v>2745923.8</v>
      </c>
      <c r="M50" s="12">
        <f>SANTANDER!H115</f>
        <v>2745923.8</v>
      </c>
    </row>
    <row r="51" spans="1:13" ht="29.4" thickBot="1" x14ac:dyDescent="0.35">
      <c r="A51" s="37" t="s">
        <v>29</v>
      </c>
      <c r="B51" s="12">
        <f>SANTANDER!H6</f>
        <v>266650.68</v>
      </c>
      <c r="C51" s="12">
        <f>SANTANDER!H16</f>
        <v>269176.40999999997</v>
      </c>
      <c r="D51" s="12">
        <f>SANTANDER!H26</f>
        <v>269176.40999999997</v>
      </c>
      <c r="E51" s="12">
        <f>SANTANDER!H36</f>
        <v>269176.40999999997</v>
      </c>
      <c r="F51" s="12">
        <f>SANTANDER!H46</f>
        <v>269176.40999999997</v>
      </c>
      <c r="G51" s="12">
        <f>SANTANDER!H56</f>
        <v>269176.40999999997</v>
      </c>
      <c r="H51" s="12">
        <f>SANTANDER!H66</f>
        <v>269176.40999999997</v>
      </c>
      <c r="I51" s="12">
        <f>SANTANDER!H76</f>
        <v>269176.40999999997</v>
      </c>
      <c r="J51" s="12">
        <f>SANTANDER!H86</f>
        <v>269176.40999999997</v>
      </c>
      <c r="K51" s="12">
        <f>SANTANDER!H96</f>
        <v>269176.40999999997</v>
      </c>
      <c r="L51" s="12">
        <f>SANTANDER!H106</f>
        <v>269176.40999999997</v>
      </c>
      <c r="M51" s="12">
        <f>SANTANDER!H116</f>
        <v>269176.40999999997</v>
      </c>
    </row>
    <row r="52" spans="1:13" ht="29.4" thickBot="1" x14ac:dyDescent="0.35">
      <c r="A52" s="37" t="s">
        <v>30</v>
      </c>
      <c r="B52" s="12">
        <f>SANTANDER!H7</f>
        <v>449846.65</v>
      </c>
      <c r="C52" s="12">
        <f>SANTANDER!H17</f>
        <v>442317.98000000004</v>
      </c>
      <c r="D52" s="12">
        <f>SANTANDER!H27</f>
        <v>442317.98000000004</v>
      </c>
      <c r="E52" s="12">
        <f>SANTANDER!H37</f>
        <v>442317.98000000004</v>
      </c>
      <c r="F52" s="12">
        <f>SANTANDER!H47</f>
        <v>442317.98000000004</v>
      </c>
      <c r="G52" s="12">
        <f>SANTANDER!H57</f>
        <v>442317.98000000004</v>
      </c>
      <c r="H52" s="12">
        <f>SANTANDER!H67</f>
        <v>442317.98000000004</v>
      </c>
      <c r="I52" s="12">
        <f>SANTANDER!H77</f>
        <v>442317.98000000004</v>
      </c>
      <c r="J52" s="12">
        <f>SANTANDER!H87</f>
        <v>442317.98000000004</v>
      </c>
      <c r="K52" s="12">
        <f>SANTANDER!H97</f>
        <v>442317.98000000004</v>
      </c>
      <c r="L52" s="12">
        <f>SANTANDER!H107</f>
        <v>442317.98000000004</v>
      </c>
      <c r="M52" s="12">
        <f>SANTANDER!H117</f>
        <v>442317.98000000004</v>
      </c>
    </row>
    <row r="53" spans="1:13" ht="15" thickBot="1" x14ac:dyDescent="0.35">
      <c r="A53" s="37" t="s">
        <v>14</v>
      </c>
      <c r="B53" s="12">
        <f>SANTANDER!H8</f>
        <v>940136.91</v>
      </c>
      <c r="C53" s="12">
        <f>SANTANDER!H18</f>
        <v>945111.97000000009</v>
      </c>
      <c r="D53" s="12">
        <f>SANTANDER!H28</f>
        <v>945111.97000000009</v>
      </c>
      <c r="E53" s="12">
        <f>SANTANDER!H38</f>
        <v>945111.97000000009</v>
      </c>
      <c r="F53" s="12">
        <f>SANTANDER!H48</f>
        <v>945111.97000000009</v>
      </c>
      <c r="G53" s="12">
        <f>SANTANDER!H58</f>
        <v>945111.97000000009</v>
      </c>
      <c r="H53" s="12">
        <f>SANTANDER!H68</f>
        <v>945111.97000000009</v>
      </c>
      <c r="I53" s="12">
        <f>SANTANDER!H78</f>
        <v>945111.97000000009</v>
      </c>
      <c r="J53" s="12">
        <f>SANTANDER!H88</f>
        <v>945111.97000000009</v>
      </c>
      <c r="K53" s="12">
        <f>SANTANDER!H98</f>
        <v>945111.97000000009</v>
      </c>
      <c r="L53" s="12">
        <f>SANTANDER!H108</f>
        <v>945111.97000000009</v>
      </c>
      <c r="M53" s="12">
        <f>SANTANDER!H118</f>
        <v>945111.97000000009</v>
      </c>
    </row>
    <row r="54" spans="1:13" ht="15" thickBot="1" x14ac:dyDescent="0.35">
      <c r="A54" s="37" t="s">
        <v>28</v>
      </c>
      <c r="B54" s="12">
        <f>SANTANDER!H9</f>
        <v>358062.7</v>
      </c>
      <c r="C54" s="12">
        <f>SANTANDER!H19</f>
        <v>361345.84</v>
      </c>
      <c r="D54" s="12">
        <f>SANTANDER!H29</f>
        <v>361345.84</v>
      </c>
      <c r="E54" s="12">
        <f>SANTANDER!H39</f>
        <v>361345.84</v>
      </c>
      <c r="F54" s="12">
        <f>SANTANDER!H49</f>
        <v>361345.84</v>
      </c>
      <c r="G54" s="12">
        <f>SANTANDER!H59</f>
        <v>361345.84</v>
      </c>
      <c r="H54" s="12">
        <f>SANTANDER!H69</f>
        <v>361345.84</v>
      </c>
      <c r="I54" s="12">
        <f>SANTANDER!H79</f>
        <v>361345.84</v>
      </c>
      <c r="J54" s="12">
        <f>SANTANDER!H89</f>
        <v>361345.84</v>
      </c>
      <c r="K54" s="12">
        <f>SANTANDER!H99</f>
        <v>361345.84</v>
      </c>
      <c r="L54" s="12">
        <f>SANTANDER!H109</f>
        <v>361345.84</v>
      </c>
      <c r="M54" s="12">
        <f>SANTANDER!H119</f>
        <v>361345.84</v>
      </c>
    </row>
    <row r="55" spans="1:13" ht="15" thickBot="1" x14ac:dyDescent="0.35">
      <c r="A55" s="37" t="s">
        <v>12</v>
      </c>
      <c r="B55" s="12">
        <f>SANTANDER!H10</f>
        <v>22812.07</v>
      </c>
      <c r="C55" s="12">
        <f>SANTANDER!H20</f>
        <v>23384.9</v>
      </c>
      <c r="D55" s="12">
        <f>SANTANDER!H30</f>
        <v>23384.9</v>
      </c>
      <c r="E55" s="12">
        <f>SANTANDER!H40</f>
        <v>23384.9</v>
      </c>
      <c r="F55" s="12">
        <f>SANTANDER!H50</f>
        <v>23384.9</v>
      </c>
      <c r="G55" s="12">
        <f>SANTANDER!H60</f>
        <v>23384.9</v>
      </c>
      <c r="H55" s="12">
        <f>SANTANDER!H70</f>
        <v>23384.9</v>
      </c>
      <c r="I55" s="12">
        <f>SANTANDER!H80</f>
        <v>23384.9</v>
      </c>
      <c r="J55" s="12">
        <f>SANTANDER!H90</f>
        <v>23384.9</v>
      </c>
      <c r="K55" s="12">
        <f>SANTANDER!H100</f>
        <v>23384.9</v>
      </c>
      <c r="L55" s="12">
        <f>SANTANDER!H110</f>
        <v>23384.9</v>
      </c>
      <c r="M55" s="12">
        <f>SANTANDER!H120</f>
        <v>23384.9</v>
      </c>
    </row>
    <row r="56" spans="1:13" ht="15" thickBot="1" x14ac:dyDescent="0.35">
      <c r="A56" s="37" t="s">
        <v>36</v>
      </c>
      <c r="B56" s="12">
        <f>SANTANDER!H11</f>
        <v>0</v>
      </c>
      <c r="C56" s="12">
        <f>SANTANDER!H21</f>
        <v>0</v>
      </c>
      <c r="D56" s="12">
        <f>SANTANDER!H31</f>
        <v>0</v>
      </c>
      <c r="E56" s="12">
        <f>SANTANDER!H41</f>
        <v>0</v>
      </c>
      <c r="F56" s="12">
        <f>SANTANDER!H51</f>
        <v>0</v>
      </c>
      <c r="G56" s="12">
        <f>SANTANDER!H61</f>
        <v>0</v>
      </c>
      <c r="H56" s="12">
        <f>SANTANDER!H71</f>
        <v>0</v>
      </c>
      <c r="I56" s="12">
        <f>SANTANDER!H81</f>
        <v>0</v>
      </c>
      <c r="J56" s="12">
        <f>SANTANDER!H91</f>
        <v>0</v>
      </c>
      <c r="K56" s="12">
        <f>SANTANDER!H101</f>
        <v>0</v>
      </c>
      <c r="L56" s="12">
        <f>SANTANDER!H111</f>
        <v>0</v>
      </c>
      <c r="M56" s="12">
        <f>SANTANDER!H121</f>
        <v>0</v>
      </c>
    </row>
    <row r="57" spans="1:13" ht="15" thickBot="1" x14ac:dyDescent="0.35">
      <c r="A57" s="121" t="s">
        <v>7</v>
      </c>
      <c r="B57" s="122">
        <f>SUM(B50:B56)</f>
        <v>4782855.62</v>
      </c>
      <c r="C57" s="122">
        <f t="shared" ref="C57:M57" si="5">SUM(C50:C56)</f>
        <v>4787260.9000000004</v>
      </c>
      <c r="D57" s="122">
        <f t="shared" si="5"/>
        <v>4787260.9000000004</v>
      </c>
      <c r="E57" s="122">
        <f t="shared" si="5"/>
        <v>4787260.9000000004</v>
      </c>
      <c r="F57" s="122">
        <f t="shared" si="5"/>
        <v>4787260.9000000004</v>
      </c>
      <c r="G57" s="122">
        <f t="shared" si="5"/>
        <v>4787260.9000000004</v>
      </c>
      <c r="H57" s="122">
        <f t="shared" si="5"/>
        <v>4787260.9000000004</v>
      </c>
      <c r="I57" s="122">
        <f t="shared" si="5"/>
        <v>4787260.9000000004</v>
      </c>
      <c r="J57" s="122">
        <f t="shared" si="5"/>
        <v>4787260.9000000004</v>
      </c>
      <c r="K57" s="122">
        <f t="shared" si="5"/>
        <v>4787260.9000000004</v>
      </c>
      <c r="L57" s="122">
        <f t="shared" si="5"/>
        <v>4787260.9000000004</v>
      </c>
      <c r="M57" s="122">
        <f t="shared" si="5"/>
        <v>4787260.9000000004</v>
      </c>
    </row>
  </sheetData>
  <mergeCells count="2">
    <mergeCell ref="A1:M1"/>
    <mergeCell ref="A5:M5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M109"/>
  <sheetViews>
    <sheetView topLeftCell="A3" zoomScale="107" zoomScaleNormal="107" workbookViewId="0">
      <selection activeCell="F14" sqref="F14"/>
    </sheetView>
  </sheetViews>
  <sheetFormatPr defaultRowHeight="14.4" x14ac:dyDescent="0.3"/>
  <cols>
    <col min="1" max="1" width="15.44140625" style="1" customWidth="1"/>
    <col min="2" max="2" width="14.33203125" style="1" bestFit="1" customWidth="1"/>
    <col min="3" max="4" width="14.21875" style="1" bestFit="1" customWidth="1"/>
    <col min="5" max="5" width="14.6640625" style="1" bestFit="1" customWidth="1"/>
    <col min="6" max="6" width="14.21875" style="14" customWidth="1"/>
    <col min="7" max="7" width="14.21875" style="16" customWidth="1"/>
    <col min="8" max="8" width="14.33203125" style="1" bestFit="1" customWidth="1"/>
    <col min="9" max="9" width="15.21875" bestFit="1" customWidth="1"/>
    <col min="10" max="11" width="15.6640625" bestFit="1" customWidth="1"/>
    <col min="12" max="13" width="13" bestFit="1" customWidth="1"/>
  </cols>
  <sheetData>
    <row r="2" spans="1:13" ht="15" thickBot="1" x14ac:dyDescent="0.35">
      <c r="K2" s="56"/>
    </row>
    <row r="3" spans="1:13" ht="29.4" thickBot="1" x14ac:dyDescent="0.35">
      <c r="A3" s="20">
        <v>46023</v>
      </c>
      <c r="B3" s="21" t="s">
        <v>4</v>
      </c>
      <c r="C3" s="21" t="s">
        <v>0</v>
      </c>
      <c r="D3" s="21" t="s">
        <v>5</v>
      </c>
      <c r="E3" s="22" t="s">
        <v>8</v>
      </c>
      <c r="F3" s="23" t="s">
        <v>10</v>
      </c>
      <c r="G3" s="24" t="s">
        <v>9</v>
      </c>
      <c r="H3" s="97" t="s">
        <v>41</v>
      </c>
      <c r="L3" s="56"/>
    </row>
    <row r="4" spans="1:13" ht="28.8" x14ac:dyDescent="0.3">
      <c r="A4" s="5" t="s">
        <v>1</v>
      </c>
      <c r="B4" s="57">
        <v>586737.13</v>
      </c>
      <c r="C4" s="6"/>
      <c r="D4" s="6"/>
      <c r="E4" s="6">
        <f t="shared" ref="E4:E9" si="0">C4+B4-D4</f>
        <v>586737.13</v>
      </c>
      <c r="F4" s="15">
        <v>1199.0999999999999</v>
      </c>
      <c r="G4" s="17">
        <f t="shared" ref="G4:G9" si="1">F4/B4</f>
        <v>2.0436749929222987E-3</v>
      </c>
      <c r="H4" s="57">
        <f t="shared" ref="H4:H9" si="2">F4+E4</f>
        <v>587936.23</v>
      </c>
      <c r="I4" s="56"/>
      <c r="J4" s="56"/>
      <c r="K4" s="56"/>
      <c r="M4" s="56"/>
    </row>
    <row r="5" spans="1:13" x14ac:dyDescent="0.3">
      <c r="A5" s="4" t="s">
        <v>2</v>
      </c>
      <c r="B5" s="58">
        <v>2744619.78</v>
      </c>
      <c r="C5" s="3"/>
      <c r="D5" s="6">
        <v>25206.33</v>
      </c>
      <c r="E5" s="6">
        <f t="shared" si="0"/>
        <v>2719413.4499999997</v>
      </c>
      <c r="F5" s="15">
        <v>26042.13</v>
      </c>
      <c r="G5" s="17">
        <f t="shared" si="1"/>
        <v>9.4884290311425222E-3</v>
      </c>
      <c r="H5" s="57">
        <f t="shared" si="2"/>
        <v>2745455.5799999996</v>
      </c>
      <c r="I5" s="56"/>
      <c r="M5" s="56"/>
    </row>
    <row r="6" spans="1:13" x14ac:dyDescent="0.3">
      <c r="A6" s="7" t="s">
        <v>3</v>
      </c>
      <c r="B6" s="58">
        <v>677006.44</v>
      </c>
      <c r="C6" s="3"/>
      <c r="D6" s="6"/>
      <c r="E6" s="6">
        <f t="shared" si="0"/>
        <v>677006.44</v>
      </c>
      <c r="F6" s="15">
        <v>18646.27</v>
      </c>
      <c r="G6" s="17">
        <f t="shared" si="1"/>
        <v>2.7542234310208337E-2</v>
      </c>
      <c r="H6" s="57">
        <f t="shared" si="2"/>
        <v>695652.71</v>
      </c>
      <c r="I6" s="56"/>
      <c r="J6" s="56"/>
      <c r="M6" s="56"/>
    </row>
    <row r="7" spans="1:13" ht="28.8" x14ac:dyDescent="0.3">
      <c r="A7" s="2" t="s">
        <v>31</v>
      </c>
      <c r="B7" s="58">
        <v>86892.800000000003</v>
      </c>
      <c r="C7" s="3"/>
      <c r="D7" s="6"/>
      <c r="E7" s="6">
        <f t="shared" si="0"/>
        <v>86892.800000000003</v>
      </c>
      <c r="F7" s="15">
        <v>1911.54</v>
      </c>
      <c r="G7" s="17">
        <f t="shared" si="1"/>
        <v>2.1998830743168593E-2</v>
      </c>
      <c r="H7" s="57">
        <f t="shared" si="2"/>
        <v>88804.34</v>
      </c>
      <c r="I7" s="56"/>
      <c r="J7" s="56"/>
      <c r="M7" s="56"/>
    </row>
    <row r="8" spans="1:13" x14ac:dyDescent="0.3">
      <c r="A8" s="2"/>
      <c r="B8" s="58"/>
      <c r="C8" s="3"/>
      <c r="D8" s="6"/>
      <c r="E8" s="6">
        <f t="shared" si="0"/>
        <v>0</v>
      </c>
      <c r="F8" s="15"/>
      <c r="G8" s="17" t="e">
        <f t="shared" si="1"/>
        <v>#DIV/0!</v>
      </c>
      <c r="H8" s="57">
        <f t="shared" si="2"/>
        <v>0</v>
      </c>
      <c r="J8" s="56"/>
      <c r="M8" s="56"/>
    </row>
    <row r="9" spans="1:13" ht="15" thickBot="1" x14ac:dyDescent="0.35">
      <c r="A9" s="7"/>
      <c r="B9" s="8"/>
      <c r="C9" s="8"/>
      <c r="D9" s="6"/>
      <c r="E9" s="6">
        <f t="shared" si="0"/>
        <v>0</v>
      </c>
      <c r="F9" s="15"/>
      <c r="G9" s="17" t="e">
        <f t="shared" si="1"/>
        <v>#DIV/0!</v>
      </c>
      <c r="H9" s="57">
        <f t="shared" si="2"/>
        <v>0</v>
      </c>
      <c r="J9" s="56"/>
      <c r="M9" s="56"/>
    </row>
    <row r="10" spans="1:13" ht="15" thickBot="1" x14ac:dyDescent="0.35">
      <c r="A10" s="9" t="s">
        <v>6</v>
      </c>
      <c r="B10" s="19">
        <f>SUM(B4:B9)</f>
        <v>4095256.1499999994</v>
      </c>
      <c r="C10" s="10"/>
      <c r="D10" s="10"/>
      <c r="E10" s="10"/>
      <c r="F10" s="64">
        <f>SUM(F4:F9)</f>
        <v>47799.040000000001</v>
      </c>
      <c r="G10" s="18"/>
      <c r="H10" s="11">
        <f>SUM(H4:H9)</f>
        <v>4117848.8599999994</v>
      </c>
      <c r="J10" s="56"/>
      <c r="M10" s="56"/>
    </row>
    <row r="11" spans="1:13" ht="15" thickBot="1" x14ac:dyDescent="0.35">
      <c r="J11" s="56"/>
      <c r="M11" s="56"/>
    </row>
    <row r="12" spans="1:13" ht="29.4" thickBot="1" x14ac:dyDescent="0.35">
      <c r="A12" s="20">
        <v>46054</v>
      </c>
      <c r="B12" s="21" t="s">
        <v>4</v>
      </c>
      <c r="C12" s="21" t="s">
        <v>0</v>
      </c>
      <c r="D12" s="21" t="s">
        <v>5</v>
      </c>
      <c r="E12" s="22" t="s">
        <v>8</v>
      </c>
      <c r="F12" s="23" t="s">
        <v>10</v>
      </c>
      <c r="G12" s="24" t="s">
        <v>9</v>
      </c>
      <c r="H12" s="22" t="s">
        <v>66</v>
      </c>
      <c r="J12" s="56"/>
      <c r="K12" s="56"/>
      <c r="M12" s="56"/>
    </row>
    <row r="13" spans="1:13" ht="28.8" x14ac:dyDescent="0.3">
      <c r="A13" s="5" t="s">
        <v>1</v>
      </c>
      <c r="B13" s="6">
        <f t="shared" ref="B13:B18" si="3">H4</f>
        <v>587936.23</v>
      </c>
      <c r="C13" s="6"/>
      <c r="D13" s="6"/>
      <c r="E13" s="6">
        <f t="shared" ref="E13:E18" si="4">C13+B13-D13</f>
        <v>587936.23</v>
      </c>
      <c r="F13" s="15">
        <v>12330.08</v>
      </c>
      <c r="G13" s="17">
        <f t="shared" ref="G13:G18" si="5">F13/B13</f>
        <v>2.0971798250976982E-2</v>
      </c>
      <c r="H13" s="57">
        <f t="shared" ref="H13:H18" si="6">F13+E13</f>
        <v>600266.30999999994</v>
      </c>
      <c r="I13" s="56"/>
      <c r="J13" s="56"/>
      <c r="K13" s="56"/>
    </row>
    <row r="14" spans="1:13" x14ac:dyDescent="0.3">
      <c r="A14" s="4" t="s">
        <v>2</v>
      </c>
      <c r="B14" s="6">
        <f t="shared" si="3"/>
        <v>2745455.5799999996</v>
      </c>
      <c r="C14" s="3"/>
      <c r="D14" s="6"/>
      <c r="E14" s="6">
        <f t="shared" si="4"/>
        <v>2745455.5799999996</v>
      </c>
      <c r="F14" s="15">
        <v>22783.82</v>
      </c>
      <c r="G14" s="17">
        <f t="shared" si="5"/>
        <v>8.2987392569651413E-3</v>
      </c>
      <c r="H14" s="57">
        <f t="shared" si="6"/>
        <v>2768239.3999999994</v>
      </c>
      <c r="I14" s="56"/>
      <c r="J14" s="56"/>
    </row>
    <row r="15" spans="1:13" x14ac:dyDescent="0.3">
      <c r="A15" s="7" t="s">
        <v>3</v>
      </c>
      <c r="B15" s="6">
        <f t="shared" si="3"/>
        <v>695652.71</v>
      </c>
      <c r="C15" s="3"/>
      <c r="D15" s="6"/>
      <c r="E15" s="6">
        <f t="shared" si="4"/>
        <v>695652.71</v>
      </c>
      <c r="F15" s="15">
        <v>2347.62</v>
      </c>
      <c r="G15" s="17">
        <f t="shared" si="5"/>
        <v>3.374701149370927E-3</v>
      </c>
      <c r="H15" s="57">
        <f t="shared" si="6"/>
        <v>698000.33</v>
      </c>
      <c r="I15" s="56"/>
      <c r="J15" s="56"/>
    </row>
    <row r="16" spans="1:13" ht="28.8" x14ac:dyDescent="0.3">
      <c r="A16" s="2" t="s">
        <v>31</v>
      </c>
      <c r="B16" s="6">
        <f>H7</f>
        <v>88804.34</v>
      </c>
      <c r="C16" s="3"/>
      <c r="D16" s="6"/>
      <c r="E16" s="6">
        <f t="shared" si="4"/>
        <v>88804.34</v>
      </c>
      <c r="F16" s="15">
        <v>1052.17</v>
      </c>
      <c r="G16" s="17">
        <f t="shared" si="5"/>
        <v>1.1848182194699044E-2</v>
      </c>
      <c r="H16" s="57">
        <f t="shared" si="6"/>
        <v>89856.51</v>
      </c>
      <c r="I16" s="56"/>
      <c r="J16" s="56"/>
    </row>
    <row r="17" spans="1:11" x14ac:dyDescent="0.3">
      <c r="A17" s="2"/>
      <c r="B17" s="6">
        <f t="shared" si="3"/>
        <v>0</v>
      </c>
      <c r="C17" s="3"/>
      <c r="D17" s="6"/>
      <c r="E17" s="6">
        <f t="shared" si="4"/>
        <v>0</v>
      </c>
      <c r="F17" s="15"/>
      <c r="G17" s="17" t="e">
        <f t="shared" si="5"/>
        <v>#DIV/0!</v>
      </c>
      <c r="H17" s="57">
        <f t="shared" si="6"/>
        <v>0</v>
      </c>
    </row>
    <row r="18" spans="1:11" ht="15" thickBot="1" x14ac:dyDescent="0.35">
      <c r="A18" s="7"/>
      <c r="B18" s="6">
        <f t="shared" si="3"/>
        <v>0</v>
      </c>
      <c r="C18" s="8"/>
      <c r="D18" s="6"/>
      <c r="E18" s="6">
        <f t="shared" si="4"/>
        <v>0</v>
      </c>
      <c r="F18" s="15"/>
      <c r="G18" s="17" t="e">
        <f t="shared" si="5"/>
        <v>#DIV/0!</v>
      </c>
      <c r="H18" s="57">
        <f t="shared" si="6"/>
        <v>0</v>
      </c>
    </row>
    <row r="19" spans="1:11" ht="15" thickBot="1" x14ac:dyDescent="0.35">
      <c r="A19" s="9" t="s">
        <v>6</v>
      </c>
      <c r="B19" s="19">
        <f>SUM(B13:B18)</f>
        <v>4117848.8599999994</v>
      </c>
      <c r="C19" s="10"/>
      <c r="D19" s="10"/>
      <c r="E19" s="10"/>
      <c r="F19" s="64">
        <f>SUM(F13:F18)</f>
        <v>38513.69</v>
      </c>
      <c r="G19" s="18"/>
      <c r="H19" s="11">
        <f>SUM(H13:H18)</f>
        <v>4156362.5499999993</v>
      </c>
    </row>
    <row r="20" spans="1:11" ht="15" thickBot="1" x14ac:dyDescent="0.35"/>
    <row r="21" spans="1:11" ht="29.4" thickBot="1" x14ac:dyDescent="0.35">
      <c r="A21" s="20">
        <v>46082</v>
      </c>
      <c r="B21" s="21" t="s">
        <v>4</v>
      </c>
      <c r="C21" s="21" t="s">
        <v>0</v>
      </c>
      <c r="D21" s="21" t="s">
        <v>5</v>
      </c>
      <c r="E21" s="22" t="s">
        <v>8</v>
      </c>
      <c r="F21" s="23" t="s">
        <v>10</v>
      </c>
      <c r="G21" s="24" t="s">
        <v>9</v>
      </c>
      <c r="H21" s="97" t="s">
        <v>42</v>
      </c>
    </row>
    <row r="22" spans="1:11" ht="28.8" x14ac:dyDescent="0.3">
      <c r="A22" s="5" t="s">
        <v>1</v>
      </c>
      <c r="B22" s="6">
        <f t="shared" ref="B22:B27" si="7">H13</f>
        <v>600266.30999999994</v>
      </c>
      <c r="C22" s="6"/>
      <c r="D22" s="6"/>
      <c r="E22" s="6">
        <f t="shared" ref="E22:E27" si="8">C22+B22-D22</f>
        <v>600266.30999999994</v>
      </c>
      <c r="F22" s="15"/>
      <c r="G22" s="17">
        <f t="shared" ref="G22:G27" si="9">F22/B22</f>
        <v>0</v>
      </c>
      <c r="H22" s="57">
        <f t="shared" ref="H22:H27" si="10">F22+E22</f>
        <v>600266.30999999994</v>
      </c>
      <c r="I22" s="56"/>
    </row>
    <row r="23" spans="1:11" x14ac:dyDescent="0.3">
      <c r="A23" s="4" t="s">
        <v>2</v>
      </c>
      <c r="B23" s="6">
        <f t="shared" si="7"/>
        <v>2768239.3999999994</v>
      </c>
      <c r="C23" s="3"/>
      <c r="D23" s="6"/>
      <c r="E23" s="6">
        <f t="shared" si="8"/>
        <v>2768239.3999999994</v>
      </c>
      <c r="F23" s="15"/>
      <c r="G23" s="17">
        <f t="shared" si="9"/>
        <v>0</v>
      </c>
      <c r="H23" s="57">
        <f t="shared" si="10"/>
        <v>2768239.3999999994</v>
      </c>
      <c r="I23" s="56"/>
    </row>
    <row r="24" spans="1:11" x14ac:dyDescent="0.3">
      <c r="A24" s="7" t="s">
        <v>3</v>
      </c>
      <c r="B24" s="6">
        <f t="shared" si="7"/>
        <v>698000.33</v>
      </c>
      <c r="C24" s="3"/>
      <c r="D24" s="6"/>
      <c r="E24" s="6">
        <f t="shared" si="8"/>
        <v>698000.33</v>
      </c>
      <c r="F24" s="15"/>
      <c r="G24" s="17">
        <f t="shared" si="9"/>
        <v>0</v>
      </c>
      <c r="H24" s="57">
        <f t="shared" si="10"/>
        <v>698000.33</v>
      </c>
    </row>
    <row r="25" spans="1:11" ht="28.8" x14ac:dyDescent="0.3">
      <c r="A25" s="2" t="s">
        <v>31</v>
      </c>
      <c r="B25" s="6">
        <f t="shared" si="7"/>
        <v>89856.51</v>
      </c>
      <c r="C25" s="3"/>
      <c r="D25" s="6"/>
      <c r="E25" s="6">
        <f t="shared" si="8"/>
        <v>89856.51</v>
      </c>
      <c r="F25" s="15"/>
      <c r="G25" s="17" t="e">
        <f>F26/B26</f>
        <v>#DIV/0!</v>
      </c>
      <c r="H25" s="57">
        <f t="shared" si="10"/>
        <v>89856.51</v>
      </c>
    </row>
    <row r="26" spans="1:11" x14ac:dyDescent="0.3">
      <c r="A26" s="2"/>
      <c r="B26" s="6">
        <f t="shared" si="7"/>
        <v>0</v>
      </c>
      <c r="C26" s="3"/>
      <c r="D26" s="6"/>
      <c r="E26" s="6">
        <f t="shared" si="8"/>
        <v>0</v>
      </c>
      <c r="F26" s="15"/>
      <c r="G26" s="17" t="e">
        <f t="shared" si="9"/>
        <v>#DIV/0!</v>
      </c>
      <c r="H26" s="57">
        <f t="shared" si="10"/>
        <v>0</v>
      </c>
    </row>
    <row r="27" spans="1:11" ht="15" thickBot="1" x14ac:dyDescent="0.35">
      <c r="A27" s="7"/>
      <c r="B27" s="6">
        <f t="shared" si="7"/>
        <v>0</v>
      </c>
      <c r="C27" s="8"/>
      <c r="D27" s="6"/>
      <c r="E27" s="6">
        <f t="shared" si="8"/>
        <v>0</v>
      </c>
      <c r="F27" s="15"/>
      <c r="G27" s="17" t="e">
        <f t="shared" si="9"/>
        <v>#DIV/0!</v>
      </c>
      <c r="H27" s="57">
        <f t="shared" si="10"/>
        <v>0</v>
      </c>
    </row>
    <row r="28" spans="1:11" ht="15" thickBot="1" x14ac:dyDescent="0.35">
      <c r="A28" s="9" t="s">
        <v>6</v>
      </c>
      <c r="B28" s="19">
        <f>SUM(B22:B27)</f>
        <v>4156362.5499999993</v>
      </c>
      <c r="C28" s="10"/>
      <c r="D28" s="10"/>
      <c r="E28" s="10"/>
      <c r="F28" s="64">
        <f>SUM(F22:F27)</f>
        <v>0</v>
      </c>
      <c r="G28" s="18"/>
      <c r="H28" s="11">
        <f>SUM(H22:H27)</f>
        <v>4156362.5499999993</v>
      </c>
      <c r="K28" s="56"/>
    </row>
    <row r="29" spans="1:11" ht="15" thickBot="1" x14ac:dyDescent="0.35"/>
    <row r="30" spans="1:11" ht="29.4" thickBot="1" x14ac:dyDescent="0.35">
      <c r="A30" s="20">
        <v>46113</v>
      </c>
      <c r="B30" s="21" t="s">
        <v>4</v>
      </c>
      <c r="C30" s="21" t="s">
        <v>0</v>
      </c>
      <c r="D30" s="21" t="s">
        <v>5</v>
      </c>
      <c r="E30" s="22" t="s">
        <v>8</v>
      </c>
      <c r="F30" s="23" t="s">
        <v>10</v>
      </c>
      <c r="G30" s="24" t="s">
        <v>9</v>
      </c>
      <c r="H30" s="22" t="s">
        <v>43</v>
      </c>
    </row>
    <row r="31" spans="1:11" ht="28.8" x14ac:dyDescent="0.3">
      <c r="A31" s="5" t="s">
        <v>1</v>
      </c>
      <c r="B31" s="6">
        <f t="shared" ref="B31:B36" si="11">H22</f>
        <v>600266.30999999994</v>
      </c>
      <c r="C31" s="6"/>
      <c r="D31" s="6"/>
      <c r="E31" s="6">
        <f t="shared" ref="E31:E36" si="12">C31+B31-D31</f>
        <v>600266.30999999994</v>
      </c>
      <c r="F31" s="67"/>
      <c r="G31" s="17">
        <f t="shared" ref="G31:G36" si="13">F31/B31</f>
        <v>0</v>
      </c>
      <c r="H31" s="57">
        <f t="shared" ref="H31:H36" si="14">F31+E31</f>
        <v>600266.30999999994</v>
      </c>
      <c r="J31" s="56"/>
    </row>
    <row r="32" spans="1:11" x14ac:dyDescent="0.3">
      <c r="A32" s="4" t="s">
        <v>2</v>
      </c>
      <c r="B32" s="6">
        <f t="shared" si="11"/>
        <v>2768239.3999999994</v>
      </c>
      <c r="C32" s="3"/>
      <c r="D32" s="6"/>
      <c r="E32" s="6">
        <f t="shared" si="12"/>
        <v>2768239.3999999994</v>
      </c>
      <c r="F32" s="67"/>
      <c r="G32" s="17">
        <f t="shared" si="13"/>
        <v>0</v>
      </c>
      <c r="H32" s="57">
        <f t="shared" si="14"/>
        <v>2768239.3999999994</v>
      </c>
      <c r="J32" s="56"/>
    </row>
    <row r="33" spans="1:10" x14ac:dyDescent="0.3">
      <c r="A33" s="7" t="s">
        <v>3</v>
      </c>
      <c r="B33" s="6">
        <f t="shared" si="11"/>
        <v>698000.33</v>
      </c>
      <c r="C33" s="3"/>
      <c r="D33" s="6"/>
      <c r="E33" s="6">
        <f t="shared" si="12"/>
        <v>698000.33</v>
      </c>
      <c r="F33" s="67"/>
      <c r="G33" s="17">
        <f t="shared" si="13"/>
        <v>0</v>
      </c>
      <c r="H33" s="57">
        <f t="shared" si="14"/>
        <v>698000.33</v>
      </c>
      <c r="J33" s="56"/>
    </row>
    <row r="34" spans="1:10" ht="28.8" x14ac:dyDescent="0.3">
      <c r="A34" s="2" t="s">
        <v>31</v>
      </c>
      <c r="B34" s="6">
        <f t="shared" si="11"/>
        <v>89856.51</v>
      </c>
      <c r="C34" s="3"/>
      <c r="D34" s="6"/>
      <c r="E34" s="6">
        <f t="shared" si="12"/>
        <v>89856.51</v>
      </c>
      <c r="F34" s="67"/>
      <c r="G34" s="17">
        <f t="shared" si="13"/>
        <v>0</v>
      </c>
      <c r="H34" s="57">
        <f t="shared" si="14"/>
        <v>89856.51</v>
      </c>
    </row>
    <row r="35" spans="1:10" x14ac:dyDescent="0.3">
      <c r="A35" s="2"/>
      <c r="B35" s="6">
        <f t="shared" si="11"/>
        <v>0</v>
      </c>
      <c r="C35" s="3"/>
      <c r="D35" s="6"/>
      <c r="E35" s="6">
        <f t="shared" si="12"/>
        <v>0</v>
      </c>
      <c r="F35" s="67"/>
      <c r="G35" s="17" t="e">
        <f t="shared" si="13"/>
        <v>#DIV/0!</v>
      </c>
      <c r="H35" s="57">
        <f t="shared" si="14"/>
        <v>0</v>
      </c>
    </row>
    <row r="36" spans="1:10" ht="15" thickBot="1" x14ac:dyDescent="0.35">
      <c r="A36" s="7"/>
      <c r="B36" s="6">
        <f t="shared" si="11"/>
        <v>0</v>
      </c>
      <c r="C36" s="8"/>
      <c r="D36" s="6"/>
      <c r="E36" s="6">
        <f t="shared" si="12"/>
        <v>0</v>
      </c>
      <c r="F36" s="67"/>
      <c r="G36" s="17" t="e">
        <f t="shared" si="13"/>
        <v>#DIV/0!</v>
      </c>
      <c r="H36" s="57">
        <f t="shared" si="14"/>
        <v>0</v>
      </c>
    </row>
    <row r="37" spans="1:10" ht="15" thickBot="1" x14ac:dyDescent="0.35">
      <c r="A37" s="9" t="s">
        <v>6</v>
      </c>
      <c r="B37" s="19">
        <f>SUM(B31:B36)</f>
        <v>4156362.5499999993</v>
      </c>
      <c r="C37" s="10"/>
      <c r="D37" s="10"/>
      <c r="E37" s="10"/>
      <c r="F37" s="64">
        <f>SUM(F31:F36)</f>
        <v>0</v>
      </c>
      <c r="G37" s="18"/>
      <c r="H37" s="11">
        <f>SUM(H31:H36)</f>
        <v>4156362.5499999993</v>
      </c>
    </row>
    <row r="38" spans="1:10" ht="15" thickBot="1" x14ac:dyDescent="0.35"/>
    <row r="39" spans="1:10" ht="29.4" thickBot="1" x14ac:dyDescent="0.35">
      <c r="A39" s="20">
        <v>46143</v>
      </c>
      <c r="B39" s="21" t="s">
        <v>4</v>
      </c>
      <c r="C39" s="21" t="s">
        <v>0</v>
      </c>
      <c r="D39" s="21" t="s">
        <v>5</v>
      </c>
      <c r="E39" s="22" t="s">
        <v>8</v>
      </c>
      <c r="F39" s="23" t="s">
        <v>10</v>
      </c>
      <c r="G39" s="24" t="s">
        <v>9</v>
      </c>
      <c r="H39" s="22" t="s">
        <v>44</v>
      </c>
    </row>
    <row r="40" spans="1:10" ht="28.8" x14ac:dyDescent="0.3">
      <c r="A40" s="5" t="s">
        <v>1</v>
      </c>
      <c r="B40" s="6">
        <f t="shared" ref="B40:B45" si="15">H31</f>
        <v>600266.30999999994</v>
      </c>
      <c r="C40" s="6"/>
      <c r="D40" s="6"/>
      <c r="E40" s="6">
        <f t="shared" ref="E40:E45" si="16">C40+B40-D40</f>
        <v>600266.30999999994</v>
      </c>
      <c r="F40" s="67"/>
      <c r="G40" s="17">
        <f t="shared" ref="G40:G45" si="17">F40/B40</f>
        <v>0</v>
      </c>
      <c r="H40" s="57">
        <f t="shared" ref="H40:H45" si="18">F40+E40</f>
        <v>600266.30999999994</v>
      </c>
      <c r="J40" s="56"/>
    </row>
    <row r="41" spans="1:10" x14ac:dyDescent="0.3">
      <c r="A41" s="4" t="s">
        <v>2</v>
      </c>
      <c r="B41" s="6">
        <f t="shared" si="15"/>
        <v>2768239.3999999994</v>
      </c>
      <c r="C41" s="3"/>
      <c r="D41" s="6"/>
      <c r="E41" s="6">
        <f t="shared" si="16"/>
        <v>2768239.3999999994</v>
      </c>
      <c r="F41" s="67"/>
      <c r="G41" s="17">
        <f t="shared" si="17"/>
        <v>0</v>
      </c>
      <c r="H41" s="57">
        <f t="shared" si="18"/>
        <v>2768239.3999999994</v>
      </c>
    </row>
    <row r="42" spans="1:10" x14ac:dyDescent="0.3">
      <c r="A42" s="7" t="s">
        <v>3</v>
      </c>
      <c r="B42" s="6">
        <f t="shared" si="15"/>
        <v>698000.33</v>
      </c>
      <c r="C42" s="3"/>
      <c r="D42" s="6"/>
      <c r="E42" s="6">
        <f t="shared" si="16"/>
        <v>698000.33</v>
      </c>
      <c r="F42" s="67"/>
      <c r="G42" s="17">
        <f t="shared" si="17"/>
        <v>0</v>
      </c>
      <c r="H42" s="57">
        <f t="shared" si="18"/>
        <v>698000.33</v>
      </c>
      <c r="J42" s="56"/>
    </row>
    <row r="43" spans="1:10" ht="28.8" x14ac:dyDescent="0.3">
      <c r="A43" s="2" t="s">
        <v>31</v>
      </c>
      <c r="B43" s="6">
        <f t="shared" si="15"/>
        <v>89856.51</v>
      </c>
      <c r="C43" s="3"/>
      <c r="D43" s="6"/>
      <c r="E43" s="6">
        <f t="shared" si="16"/>
        <v>89856.51</v>
      </c>
      <c r="F43" s="67"/>
      <c r="G43" s="17">
        <f t="shared" si="17"/>
        <v>0</v>
      </c>
      <c r="H43" s="57">
        <f t="shared" si="18"/>
        <v>89856.51</v>
      </c>
      <c r="J43" s="56"/>
    </row>
    <row r="44" spans="1:10" x14ac:dyDescent="0.3">
      <c r="A44" s="2"/>
      <c r="B44" s="6">
        <f t="shared" si="15"/>
        <v>0</v>
      </c>
      <c r="C44" s="3"/>
      <c r="D44" s="6"/>
      <c r="E44" s="6">
        <f t="shared" si="16"/>
        <v>0</v>
      </c>
      <c r="F44" s="67"/>
      <c r="G44" s="17" t="e">
        <f t="shared" si="17"/>
        <v>#DIV/0!</v>
      </c>
      <c r="H44" s="57">
        <f t="shared" si="18"/>
        <v>0</v>
      </c>
    </row>
    <row r="45" spans="1:10" ht="15" thickBot="1" x14ac:dyDescent="0.35">
      <c r="A45" s="7"/>
      <c r="B45" s="6">
        <f t="shared" si="15"/>
        <v>0</v>
      </c>
      <c r="C45" s="8"/>
      <c r="D45" s="6"/>
      <c r="E45" s="6">
        <f t="shared" si="16"/>
        <v>0</v>
      </c>
      <c r="F45" s="67"/>
      <c r="G45" s="17" t="e">
        <f t="shared" si="17"/>
        <v>#DIV/0!</v>
      </c>
      <c r="H45" s="57">
        <f t="shared" si="18"/>
        <v>0</v>
      </c>
    </row>
    <row r="46" spans="1:10" ht="15" thickBot="1" x14ac:dyDescent="0.35">
      <c r="A46" s="9" t="s">
        <v>6</v>
      </c>
      <c r="B46" s="19">
        <f>SUM(B40:B45)</f>
        <v>4156362.5499999993</v>
      </c>
      <c r="C46" s="10"/>
      <c r="D46" s="10"/>
      <c r="E46" s="10"/>
      <c r="F46" s="64">
        <f>SUM(F40:F45)</f>
        <v>0</v>
      </c>
      <c r="G46" s="18"/>
      <c r="H46" s="11">
        <f>SUM(H40:H45)</f>
        <v>4156362.5499999993</v>
      </c>
    </row>
    <row r="47" spans="1:10" ht="15" thickBot="1" x14ac:dyDescent="0.35"/>
    <row r="48" spans="1:10" ht="29.4" thickBot="1" x14ac:dyDescent="0.35">
      <c r="A48" s="20">
        <v>46174</v>
      </c>
      <c r="B48" s="21" t="s">
        <v>4</v>
      </c>
      <c r="C48" s="21" t="s">
        <v>0</v>
      </c>
      <c r="D48" s="21" t="s">
        <v>5</v>
      </c>
      <c r="E48" s="22" t="s">
        <v>8</v>
      </c>
      <c r="F48" s="23" t="s">
        <v>10</v>
      </c>
      <c r="G48" s="24" t="s">
        <v>9</v>
      </c>
      <c r="H48" s="22" t="s">
        <v>45</v>
      </c>
    </row>
    <row r="49" spans="1:10" ht="28.8" x14ac:dyDescent="0.3">
      <c r="A49" s="5" t="s">
        <v>1</v>
      </c>
      <c r="B49" s="6">
        <f t="shared" ref="B49:B54" si="19">H40</f>
        <v>600266.30999999994</v>
      </c>
      <c r="C49" s="6"/>
      <c r="D49" s="6"/>
      <c r="E49" s="6">
        <f t="shared" ref="E49:E54" si="20">C49+B49-D49</f>
        <v>600266.30999999994</v>
      </c>
      <c r="F49" s="67"/>
      <c r="G49" s="17">
        <f t="shared" ref="G49:G54" si="21">F49/B49</f>
        <v>0</v>
      </c>
      <c r="H49" s="57">
        <f t="shared" ref="H49:H54" si="22">F49+E49</f>
        <v>600266.30999999994</v>
      </c>
      <c r="J49" s="56"/>
    </row>
    <row r="50" spans="1:10" x14ac:dyDescent="0.3">
      <c r="A50" s="4" t="s">
        <v>2</v>
      </c>
      <c r="B50" s="6">
        <f t="shared" si="19"/>
        <v>2768239.3999999994</v>
      </c>
      <c r="C50" s="3"/>
      <c r="D50" s="6"/>
      <c r="E50" s="6">
        <f t="shared" si="20"/>
        <v>2768239.3999999994</v>
      </c>
      <c r="F50" s="67"/>
      <c r="G50" s="17">
        <f t="shared" si="21"/>
        <v>0</v>
      </c>
      <c r="H50" s="57">
        <f t="shared" si="22"/>
        <v>2768239.3999999994</v>
      </c>
      <c r="J50" s="56"/>
    </row>
    <row r="51" spans="1:10" x14ac:dyDescent="0.3">
      <c r="A51" s="7" t="s">
        <v>3</v>
      </c>
      <c r="B51" s="6">
        <f t="shared" si="19"/>
        <v>698000.33</v>
      </c>
      <c r="C51" s="3"/>
      <c r="D51" s="6"/>
      <c r="E51" s="6">
        <f t="shared" si="20"/>
        <v>698000.33</v>
      </c>
      <c r="F51" s="67"/>
      <c r="G51" s="17">
        <f t="shared" si="21"/>
        <v>0</v>
      </c>
      <c r="H51" s="57">
        <f t="shared" si="22"/>
        <v>698000.33</v>
      </c>
      <c r="J51" s="56"/>
    </row>
    <row r="52" spans="1:10" ht="28.8" x14ac:dyDescent="0.3">
      <c r="A52" s="2" t="s">
        <v>31</v>
      </c>
      <c r="B52" s="6">
        <f t="shared" si="19"/>
        <v>89856.51</v>
      </c>
      <c r="C52" s="3"/>
      <c r="D52" s="6"/>
      <c r="E52" s="6">
        <f t="shared" si="20"/>
        <v>89856.51</v>
      </c>
      <c r="F52" s="67"/>
      <c r="G52" s="17">
        <f t="shared" si="21"/>
        <v>0</v>
      </c>
      <c r="H52" s="57">
        <f t="shared" si="22"/>
        <v>89856.51</v>
      </c>
      <c r="J52" s="56"/>
    </row>
    <row r="53" spans="1:10" x14ac:dyDescent="0.3">
      <c r="A53" s="2"/>
      <c r="B53" s="6">
        <f t="shared" si="19"/>
        <v>0</v>
      </c>
      <c r="C53" s="3"/>
      <c r="D53" s="6"/>
      <c r="E53" s="6">
        <f t="shared" si="20"/>
        <v>0</v>
      </c>
      <c r="F53" s="67"/>
      <c r="G53" s="17" t="e">
        <f t="shared" si="21"/>
        <v>#DIV/0!</v>
      </c>
      <c r="H53" s="57">
        <f t="shared" si="22"/>
        <v>0</v>
      </c>
    </row>
    <row r="54" spans="1:10" ht="15" thickBot="1" x14ac:dyDescent="0.35">
      <c r="A54" s="7"/>
      <c r="B54" s="6">
        <f t="shared" si="19"/>
        <v>0</v>
      </c>
      <c r="C54" s="8"/>
      <c r="D54" s="6"/>
      <c r="E54" s="6">
        <f t="shared" si="20"/>
        <v>0</v>
      </c>
      <c r="F54" s="67"/>
      <c r="G54" s="17" t="e">
        <f t="shared" si="21"/>
        <v>#DIV/0!</v>
      </c>
      <c r="H54" s="57">
        <f t="shared" si="22"/>
        <v>0</v>
      </c>
    </row>
    <row r="55" spans="1:10" ht="15" thickBot="1" x14ac:dyDescent="0.35">
      <c r="A55" s="9" t="s">
        <v>6</v>
      </c>
      <c r="B55" s="19">
        <f>SUM(B49:B54)</f>
        <v>4156362.5499999993</v>
      </c>
      <c r="C55" s="10"/>
      <c r="D55" s="10"/>
      <c r="E55" s="10"/>
      <c r="F55" s="64">
        <f>SUM(F49:F54)</f>
        <v>0</v>
      </c>
      <c r="G55" s="18"/>
      <c r="H55" s="11">
        <f>SUM(H49:H54)</f>
        <v>4156362.5499999993</v>
      </c>
    </row>
    <row r="56" spans="1:10" ht="15" thickBot="1" x14ac:dyDescent="0.35"/>
    <row r="57" spans="1:10" ht="29.4" thickBot="1" x14ac:dyDescent="0.35">
      <c r="A57" s="20">
        <v>46204</v>
      </c>
      <c r="B57" s="21" t="s">
        <v>4</v>
      </c>
      <c r="C57" s="21" t="s">
        <v>0</v>
      </c>
      <c r="D57" s="21" t="s">
        <v>5</v>
      </c>
      <c r="E57" s="22" t="s">
        <v>8</v>
      </c>
      <c r="F57" s="23" t="s">
        <v>10</v>
      </c>
      <c r="G57" s="24" t="s">
        <v>9</v>
      </c>
      <c r="H57" s="22" t="s">
        <v>46</v>
      </c>
    </row>
    <row r="58" spans="1:10" ht="28.8" x14ac:dyDescent="0.3">
      <c r="A58" s="5" t="s">
        <v>1</v>
      </c>
      <c r="B58" s="6">
        <f t="shared" ref="B58:B63" si="23">H49</f>
        <v>600266.30999999994</v>
      </c>
      <c r="C58" s="6"/>
      <c r="D58" s="6"/>
      <c r="E58" s="6">
        <f t="shared" ref="E58:E63" si="24">C58+B58-D58</f>
        <v>600266.30999999994</v>
      </c>
      <c r="F58" s="67"/>
      <c r="G58" s="17">
        <f t="shared" ref="G58:G63" si="25">F58/B58</f>
        <v>0</v>
      </c>
      <c r="H58" s="57">
        <f t="shared" ref="H58:H63" si="26">F58+E58</f>
        <v>600266.30999999994</v>
      </c>
      <c r="I58" s="56"/>
    </row>
    <row r="59" spans="1:10" x14ac:dyDescent="0.3">
      <c r="A59" s="4" t="s">
        <v>2</v>
      </c>
      <c r="B59" s="6">
        <f t="shared" si="23"/>
        <v>2768239.3999999994</v>
      </c>
      <c r="C59" s="3"/>
      <c r="D59" s="6"/>
      <c r="E59" s="6">
        <f t="shared" si="24"/>
        <v>2768239.3999999994</v>
      </c>
      <c r="F59" s="67"/>
      <c r="G59" s="17">
        <f t="shared" si="25"/>
        <v>0</v>
      </c>
      <c r="H59" s="57">
        <f t="shared" si="26"/>
        <v>2768239.3999999994</v>
      </c>
      <c r="I59" s="56"/>
    </row>
    <row r="60" spans="1:10" x14ac:dyDescent="0.3">
      <c r="A60" s="7" t="s">
        <v>3</v>
      </c>
      <c r="B60" s="6">
        <f t="shared" si="23"/>
        <v>698000.33</v>
      </c>
      <c r="C60" s="3"/>
      <c r="D60" s="6"/>
      <c r="E60" s="6">
        <f t="shared" si="24"/>
        <v>698000.33</v>
      </c>
      <c r="F60" s="67"/>
      <c r="G60" s="17">
        <f t="shared" si="25"/>
        <v>0</v>
      </c>
      <c r="H60" s="57">
        <f t="shared" si="26"/>
        <v>698000.33</v>
      </c>
      <c r="I60" s="56"/>
    </row>
    <row r="61" spans="1:10" ht="28.8" x14ac:dyDescent="0.3">
      <c r="A61" s="2" t="s">
        <v>31</v>
      </c>
      <c r="B61" s="6">
        <f t="shared" si="23"/>
        <v>89856.51</v>
      </c>
      <c r="C61" s="3"/>
      <c r="D61" s="6"/>
      <c r="E61" s="6">
        <f t="shared" si="24"/>
        <v>89856.51</v>
      </c>
      <c r="F61" s="67"/>
      <c r="G61" s="17">
        <f t="shared" si="25"/>
        <v>0</v>
      </c>
      <c r="H61" s="57">
        <f t="shared" si="26"/>
        <v>89856.51</v>
      </c>
      <c r="J61" s="56"/>
    </row>
    <row r="62" spans="1:10" x14ac:dyDescent="0.3">
      <c r="A62" s="2"/>
      <c r="B62" s="6">
        <f t="shared" si="23"/>
        <v>0</v>
      </c>
      <c r="C62" s="3"/>
      <c r="D62" s="6"/>
      <c r="E62" s="6">
        <f t="shared" si="24"/>
        <v>0</v>
      </c>
      <c r="F62" s="67"/>
      <c r="G62" s="17" t="e">
        <f t="shared" si="25"/>
        <v>#DIV/0!</v>
      </c>
      <c r="H62" s="57">
        <f t="shared" si="26"/>
        <v>0</v>
      </c>
    </row>
    <row r="63" spans="1:10" ht="15" thickBot="1" x14ac:dyDescent="0.35">
      <c r="A63" s="7"/>
      <c r="B63" s="6">
        <f t="shared" si="23"/>
        <v>0</v>
      </c>
      <c r="C63" s="8"/>
      <c r="D63" s="6"/>
      <c r="E63" s="6">
        <f t="shared" si="24"/>
        <v>0</v>
      </c>
      <c r="F63" s="67"/>
      <c r="G63" s="17" t="e">
        <f t="shared" si="25"/>
        <v>#DIV/0!</v>
      </c>
      <c r="H63" s="57">
        <f t="shared" si="26"/>
        <v>0</v>
      </c>
    </row>
    <row r="64" spans="1:10" ht="15" thickBot="1" x14ac:dyDescent="0.35">
      <c r="A64" s="9" t="s">
        <v>6</v>
      </c>
      <c r="B64" s="19">
        <f>SUM(B58:B63)</f>
        <v>4156362.5499999993</v>
      </c>
      <c r="C64" s="10"/>
      <c r="D64" s="10"/>
      <c r="E64" s="10"/>
      <c r="F64" s="64">
        <f>SUM(F58:F63)</f>
        <v>0</v>
      </c>
      <c r="G64" s="18"/>
      <c r="H64" s="11">
        <f>SUM(H58:H63)</f>
        <v>4156362.5499999993</v>
      </c>
    </row>
    <row r="65" spans="1:11" ht="15" thickBot="1" x14ac:dyDescent="0.35"/>
    <row r="66" spans="1:11" ht="29.4" thickBot="1" x14ac:dyDescent="0.35">
      <c r="A66" s="20">
        <v>46235</v>
      </c>
      <c r="B66" s="21" t="s">
        <v>4</v>
      </c>
      <c r="C66" s="21" t="s">
        <v>0</v>
      </c>
      <c r="D66" s="21" t="s">
        <v>5</v>
      </c>
      <c r="E66" s="22" t="s">
        <v>8</v>
      </c>
      <c r="F66" s="23" t="s">
        <v>10</v>
      </c>
      <c r="G66" s="24" t="s">
        <v>9</v>
      </c>
      <c r="H66" s="22" t="s">
        <v>47</v>
      </c>
    </row>
    <row r="67" spans="1:11" ht="28.8" x14ac:dyDescent="0.3">
      <c r="A67" s="93" t="s">
        <v>1</v>
      </c>
      <c r="B67" s="6">
        <f t="shared" ref="B67:B72" si="27">H58</f>
        <v>600266.30999999994</v>
      </c>
      <c r="C67" s="6"/>
      <c r="D67" s="6"/>
      <c r="E67" s="6">
        <f t="shared" ref="E67:E72" si="28">C67+B67-D67</f>
        <v>600266.30999999994</v>
      </c>
      <c r="F67" s="67"/>
      <c r="G67" s="17">
        <f t="shared" ref="G67:G72" si="29">F67/B67</f>
        <v>0</v>
      </c>
      <c r="H67" s="57">
        <f t="shared" ref="H67:H72" si="30">F67+E67</f>
        <v>600266.30999999994</v>
      </c>
      <c r="I67" s="56"/>
      <c r="J67" s="56"/>
      <c r="K67" s="56"/>
    </row>
    <row r="68" spans="1:11" x14ac:dyDescent="0.3">
      <c r="A68" s="94" t="s">
        <v>2</v>
      </c>
      <c r="B68" s="6">
        <f t="shared" si="27"/>
        <v>2768239.3999999994</v>
      </c>
      <c r="C68" s="3"/>
      <c r="D68" s="6"/>
      <c r="E68" s="6">
        <f t="shared" si="28"/>
        <v>2768239.3999999994</v>
      </c>
      <c r="F68" s="67"/>
      <c r="G68" s="17">
        <f t="shared" si="29"/>
        <v>0</v>
      </c>
      <c r="H68" s="57">
        <f t="shared" si="30"/>
        <v>2768239.3999999994</v>
      </c>
      <c r="I68" s="56"/>
      <c r="J68" s="56"/>
    </row>
    <row r="69" spans="1:11" x14ac:dyDescent="0.3">
      <c r="A69" s="7" t="s">
        <v>3</v>
      </c>
      <c r="B69" s="6">
        <f t="shared" si="27"/>
        <v>698000.33</v>
      </c>
      <c r="C69" s="3"/>
      <c r="D69" s="6"/>
      <c r="E69" s="6">
        <f t="shared" si="28"/>
        <v>698000.33</v>
      </c>
      <c r="F69" s="67"/>
      <c r="G69" s="17">
        <f t="shared" si="29"/>
        <v>0</v>
      </c>
      <c r="H69" s="57">
        <f t="shared" si="30"/>
        <v>698000.33</v>
      </c>
      <c r="I69" s="56"/>
      <c r="J69" s="56"/>
    </row>
    <row r="70" spans="1:11" ht="28.8" x14ac:dyDescent="0.3">
      <c r="A70" s="2" t="s">
        <v>31</v>
      </c>
      <c r="B70" s="6">
        <f t="shared" si="27"/>
        <v>89856.51</v>
      </c>
      <c r="C70" s="3"/>
      <c r="D70" s="6"/>
      <c r="E70" s="6">
        <f>C70+B70-D70</f>
        <v>89856.51</v>
      </c>
      <c r="F70" s="67"/>
      <c r="G70" s="17">
        <f t="shared" si="29"/>
        <v>0</v>
      </c>
      <c r="H70" s="57">
        <f t="shared" si="30"/>
        <v>89856.51</v>
      </c>
      <c r="I70" s="56"/>
      <c r="J70" s="56"/>
    </row>
    <row r="71" spans="1:11" x14ac:dyDescent="0.3">
      <c r="A71" s="95"/>
      <c r="B71" s="6">
        <f t="shared" si="27"/>
        <v>0</v>
      </c>
      <c r="C71" s="3"/>
      <c r="D71" s="6"/>
      <c r="E71" s="6">
        <f t="shared" si="28"/>
        <v>0</v>
      </c>
      <c r="F71" s="67"/>
      <c r="G71" s="17" t="e">
        <f t="shared" si="29"/>
        <v>#DIV/0!</v>
      </c>
      <c r="H71" s="57">
        <f t="shared" si="30"/>
        <v>0</v>
      </c>
      <c r="J71" s="56"/>
      <c r="K71" s="125"/>
    </row>
    <row r="72" spans="1:11" ht="15" thickBot="1" x14ac:dyDescent="0.35">
      <c r="A72" s="96"/>
      <c r="B72" s="6">
        <f t="shared" si="27"/>
        <v>0</v>
      </c>
      <c r="C72" s="8"/>
      <c r="D72" s="6"/>
      <c r="E72" s="6">
        <f t="shared" si="28"/>
        <v>0</v>
      </c>
      <c r="F72" s="67"/>
      <c r="G72" s="17" t="e">
        <f t="shared" si="29"/>
        <v>#DIV/0!</v>
      </c>
      <c r="H72" s="57">
        <f t="shared" si="30"/>
        <v>0</v>
      </c>
      <c r="J72" s="56"/>
    </row>
    <row r="73" spans="1:11" ht="15" thickBot="1" x14ac:dyDescent="0.35">
      <c r="A73" s="9" t="s">
        <v>6</v>
      </c>
      <c r="B73" s="19">
        <f>SUM(B67:B72)</f>
        <v>4156362.5499999993</v>
      </c>
      <c r="C73" s="10"/>
      <c r="D73" s="10"/>
      <c r="E73" s="10"/>
      <c r="F73" s="64">
        <f>SUM(F67:F72)</f>
        <v>0</v>
      </c>
      <c r="G73" s="18"/>
      <c r="H73" s="11">
        <f>SUM(H67:H72)</f>
        <v>4156362.5499999993</v>
      </c>
    </row>
    <row r="74" spans="1:11" ht="15" thickBot="1" x14ac:dyDescent="0.35"/>
    <row r="75" spans="1:11" ht="29.4" thickBot="1" x14ac:dyDescent="0.35">
      <c r="A75" s="20">
        <v>46266</v>
      </c>
      <c r="B75" s="21" t="s">
        <v>4</v>
      </c>
      <c r="C75" s="21" t="s">
        <v>0</v>
      </c>
      <c r="D75" s="21" t="s">
        <v>5</v>
      </c>
      <c r="E75" s="22" t="s">
        <v>8</v>
      </c>
      <c r="F75" s="23" t="s">
        <v>10</v>
      </c>
      <c r="G75" s="24" t="s">
        <v>9</v>
      </c>
      <c r="H75" s="22" t="s">
        <v>48</v>
      </c>
    </row>
    <row r="76" spans="1:11" ht="28.8" x14ac:dyDescent="0.3">
      <c r="A76" s="93" t="s">
        <v>1</v>
      </c>
      <c r="B76" s="6">
        <f t="shared" ref="B76:B81" si="31">H67</f>
        <v>600266.30999999994</v>
      </c>
      <c r="C76" s="6"/>
      <c r="D76" s="6"/>
      <c r="E76" s="6">
        <f t="shared" ref="E76:E81" si="32">C76+B76-D76</f>
        <v>600266.30999999994</v>
      </c>
      <c r="F76" s="67"/>
      <c r="G76" s="17">
        <f t="shared" ref="G76:G81" si="33">F76/B76</f>
        <v>0</v>
      </c>
      <c r="H76" s="57">
        <f t="shared" ref="H76:H81" si="34">F76+E76</f>
        <v>600266.30999999994</v>
      </c>
      <c r="I76" s="56"/>
    </row>
    <row r="77" spans="1:11" x14ac:dyDescent="0.3">
      <c r="A77" s="94" t="s">
        <v>2</v>
      </c>
      <c r="B77" s="6">
        <f t="shared" si="31"/>
        <v>2768239.3999999994</v>
      </c>
      <c r="C77" s="3"/>
      <c r="D77" s="6"/>
      <c r="E77" s="6">
        <f t="shared" si="32"/>
        <v>2768239.3999999994</v>
      </c>
      <c r="F77" s="67"/>
      <c r="G77" s="17">
        <f t="shared" si="33"/>
        <v>0</v>
      </c>
      <c r="H77" s="57">
        <f t="shared" si="34"/>
        <v>2768239.3999999994</v>
      </c>
      <c r="I77" s="56"/>
      <c r="J77" s="56"/>
    </row>
    <row r="78" spans="1:11" x14ac:dyDescent="0.3">
      <c r="A78" s="7" t="s">
        <v>3</v>
      </c>
      <c r="B78" s="6">
        <f t="shared" si="31"/>
        <v>698000.33</v>
      </c>
      <c r="C78" s="3"/>
      <c r="D78" s="6"/>
      <c r="E78" s="6">
        <f t="shared" si="32"/>
        <v>698000.33</v>
      </c>
      <c r="F78" s="67"/>
      <c r="G78" s="17">
        <f t="shared" si="33"/>
        <v>0</v>
      </c>
      <c r="H78" s="57">
        <f t="shared" si="34"/>
        <v>698000.33</v>
      </c>
      <c r="I78" s="56"/>
    </row>
    <row r="79" spans="1:11" ht="28.8" x14ac:dyDescent="0.3">
      <c r="A79" s="2" t="s">
        <v>31</v>
      </c>
      <c r="B79" s="6">
        <f t="shared" si="31"/>
        <v>89856.51</v>
      </c>
      <c r="C79" s="3"/>
      <c r="D79" s="6"/>
      <c r="E79" s="6">
        <f t="shared" si="32"/>
        <v>89856.51</v>
      </c>
      <c r="F79" s="67"/>
      <c r="G79" s="17">
        <f t="shared" si="33"/>
        <v>0</v>
      </c>
      <c r="H79" s="57">
        <f t="shared" si="34"/>
        <v>89856.51</v>
      </c>
      <c r="I79" s="56"/>
    </row>
    <row r="80" spans="1:11" x14ac:dyDescent="0.3">
      <c r="A80" s="95"/>
      <c r="B80" s="6">
        <f t="shared" si="31"/>
        <v>0</v>
      </c>
      <c r="C80" s="3"/>
      <c r="D80" s="6"/>
      <c r="E80" s="6">
        <f t="shared" si="32"/>
        <v>0</v>
      </c>
      <c r="F80" s="67"/>
      <c r="G80" s="17" t="e">
        <f t="shared" si="33"/>
        <v>#DIV/0!</v>
      </c>
      <c r="H80" s="57">
        <f t="shared" si="34"/>
        <v>0</v>
      </c>
      <c r="I80" s="56"/>
    </row>
    <row r="81" spans="1:11" ht="15" thickBot="1" x14ac:dyDescent="0.35">
      <c r="A81" s="96"/>
      <c r="B81" s="6">
        <f t="shared" si="31"/>
        <v>0</v>
      </c>
      <c r="C81" s="8"/>
      <c r="D81" s="6"/>
      <c r="E81" s="6">
        <f t="shared" si="32"/>
        <v>0</v>
      </c>
      <c r="F81" s="67"/>
      <c r="G81" s="17" t="e">
        <f t="shared" si="33"/>
        <v>#DIV/0!</v>
      </c>
      <c r="H81" s="57">
        <f t="shared" si="34"/>
        <v>0</v>
      </c>
      <c r="I81" s="56"/>
    </row>
    <row r="82" spans="1:11" ht="15" thickBot="1" x14ac:dyDescent="0.35">
      <c r="A82" s="9" t="s">
        <v>6</v>
      </c>
      <c r="B82" s="19">
        <f>SUM(B76:B81)</f>
        <v>4156362.5499999993</v>
      </c>
      <c r="C82" s="10"/>
      <c r="D82" s="10"/>
      <c r="E82" s="10"/>
      <c r="F82" s="64">
        <f>SUM(F76:F81)</f>
        <v>0</v>
      </c>
      <c r="G82" s="18"/>
      <c r="H82" s="11">
        <f>SUM(H76:H81)</f>
        <v>4156362.5499999993</v>
      </c>
    </row>
    <row r="83" spans="1:11" ht="15" thickBot="1" x14ac:dyDescent="0.35"/>
    <row r="84" spans="1:11" ht="29.4" thickBot="1" x14ac:dyDescent="0.35">
      <c r="A84" s="20">
        <v>46296</v>
      </c>
      <c r="B84" s="21" t="s">
        <v>4</v>
      </c>
      <c r="C84" s="21" t="s">
        <v>0</v>
      </c>
      <c r="D84" s="21" t="s">
        <v>5</v>
      </c>
      <c r="E84" s="22" t="s">
        <v>8</v>
      </c>
      <c r="F84" s="23" t="s">
        <v>10</v>
      </c>
      <c r="G84" s="24" t="s">
        <v>9</v>
      </c>
      <c r="H84" s="22" t="s">
        <v>49</v>
      </c>
    </row>
    <row r="85" spans="1:11" ht="28.8" x14ac:dyDescent="0.3">
      <c r="A85" s="93" t="s">
        <v>1</v>
      </c>
      <c r="B85" s="6">
        <f t="shared" ref="B85:B90" si="35">H76</f>
        <v>600266.30999999994</v>
      </c>
      <c r="C85" s="6"/>
      <c r="D85" s="6"/>
      <c r="E85" s="6">
        <f t="shared" ref="E85:E90" si="36">C85+B85-D85</f>
        <v>600266.30999999994</v>
      </c>
      <c r="F85" s="67"/>
      <c r="G85" s="17">
        <f t="shared" ref="G85:G90" si="37">F85/B85</f>
        <v>0</v>
      </c>
      <c r="H85" s="57">
        <f t="shared" ref="H85:H90" si="38">F85+E85</f>
        <v>600266.30999999994</v>
      </c>
      <c r="I85" s="56"/>
    </row>
    <row r="86" spans="1:11" x14ac:dyDescent="0.3">
      <c r="A86" s="94" t="s">
        <v>2</v>
      </c>
      <c r="B86" s="6">
        <f t="shared" si="35"/>
        <v>2768239.3999999994</v>
      </c>
      <c r="C86" s="3"/>
      <c r="D86" s="6"/>
      <c r="E86" s="6">
        <f t="shared" si="36"/>
        <v>2768239.3999999994</v>
      </c>
      <c r="F86" s="67"/>
      <c r="G86" s="17">
        <f t="shared" si="37"/>
        <v>0</v>
      </c>
      <c r="H86" s="57">
        <f t="shared" si="38"/>
        <v>2768239.3999999994</v>
      </c>
      <c r="I86" s="56"/>
    </row>
    <row r="87" spans="1:11" x14ac:dyDescent="0.3">
      <c r="A87" s="7" t="s">
        <v>3</v>
      </c>
      <c r="B87" s="6">
        <f t="shared" si="35"/>
        <v>698000.33</v>
      </c>
      <c r="C87" s="3"/>
      <c r="D87" s="6"/>
      <c r="E87" s="6">
        <f t="shared" si="36"/>
        <v>698000.33</v>
      </c>
      <c r="F87" s="67"/>
      <c r="G87" s="17">
        <f t="shared" si="37"/>
        <v>0</v>
      </c>
      <c r="H87" s="57">
        <f t="shared" si="38"/>
        <v>698000.33</v>
      </c>
      <c r="I87" s="56"/>
    </row>
    <row r="88" spans="1:11" ht="28.8" x14ac:dyDescent="0.3">
      <c r="A88" s="2" t="s">
        <v>31</v>
      </c>
      <c r="B88" s="6">
        <f t="shared" si="35"/>
        <v>89856.51</v>
      </c>
      <c r="C88" s="3"/>
      <c r="D88" s="6"/>
      <c r="E88" s="6">
        <f t="shared" si="36"/>
        <v>89856.51</v>
      </c>
      <c r="F88" s="67"/>
      <c r="G88" s="17">
        <f t="shared" si="37"/>
        <v>0</v>
      </c>
      <c r="H88" s="57">
        <f t="shared" si="38"/>
        <v>89856.51</v>
      </c>
      <c r="I88" s="56"/>
    </row>
    <row r="89" spans="1:11" x14ac:dyDescent="0.3">
      <c r="A89" s="95"/>
      <c r="B89" s="6">
        <f t="shared" si="35"/>
        <v>0</v>
      </c>
      <c r="C89" s="3"/>
      <c r="D89" s="6"/>
      <c r="E89" s="6">
        <f t="shared" si="36"/>
        <v>0</v>
      </c>
      <c r="F89" s="67"/>
      <c r="G89" s="17" t="e">
        <f t="shared" si="37"/>
        <v>#DIV/0!</v>
      </c>
      <c r="H89" s="57">
        <f t="shared" si="38"/>
        <v>0</v>
      </c>
      <c r="I89" s="56"/>
    </row>
    <row r="90" spans="1:11" ht="15" thickBot="1" x14ac:dyDescent="0.35">
      <c r="A90" s="96"/>
      <c r="B90" s="6">
        <f t="shared" si="35"/>
        <v>0</v>
      </c>
      <c r="C90" s="8"/>
      <c r="D90" s="6"/>
      <c r="E90" s="6">
        <f t="shared" si="36"/>
        <v>0</v>
      </c>
      <c r="F90" s="67"/>
      <c r="G90" s="17" t="e">
        <f t="shared" si="37"/>
        <v>#DIV/0!</v>
      </c>
      <c r="H90" s="57">
        <f t="shared" si="38"/>
        <v>0</v>
      </c>
      <c r="I90" s="56"/>
    </row>
    <row r="91" spans="1:11" ht="15" thickBot="1" x14ac:dyDescent="0.35">
      <c r="A91" s="9" t="s">
        <v>6</v>
      </c>
      <c r="B91" s="19">
        <f>SUM(B85:B90)</f>
        <v>4156362.5499999993</v>
      </c>
      <c r="C91" s="10"/>
      <c r="D91" s="10"/>
      <c r="E91" s="10"/>
      <c r="F91" s="64">
        <f>SUM(F85:F90)</f>
        <v>0</v>
      </c>
      <c r="G91" s="18"/>
      <c r="H91" s="11">
        <f>SUM(H85:H90)</f>
        <v>4156362.5499999993</v>
      </c>
    </row>
    <row r="92" spans="1:11" ht="15" thickBot="1" x14ac:dyDescent="0.35"/>
    <row r="93" spans="1:11" ht="29.4" thickBot="1" x14ac:dyDescent="0.35">
      <c r="A93" s="20">
        <v>46327</v>
      </c>
      <c r="B93" s="21" t="s">
        <v>4</v>
      </c>
      <c r="C93" s="21" t="s">
        <v>0</v>
      </c>
      <c r="D93" s="21" t="s">
        <v>5</v>
      </c>
      <c r="E93" s="22" t="s">
        <v>8</v>
      </c>
      <c r="F93" s="23" t="s">
        <v>10</v>
      </c>
      <c r="G93" s="24" t="s">
        <v>9</v>
      </c>
      <c r="H93" s="22" t="s">
        <v>50</v>
      </c>
    </row>
    <row r="94" spans="1:11" ht="28.8" x14ac:dyDescent="0.3">
      <c r="A94" s="93" t="s">
        <v>1</v>
      </c>
      <c r="B94" s="6">
        <f t="shared" ref="B94:B99" si="39">H85</f>
        <v>600266.30999999994</v>
      </c>
      <c r="C94" s="6"/>
      <c r="D94" s="6"/>
      <c r="E94" s="6">
        <f t="shared" ref="E94:E99" si="40">C94+B94-D94</f>
        <v>600266.30999999994</v>
      </c>
      <c r="F94" s="67"/>
      <c r="G94" s="17">
        <f t="shared" ref="G94:G99" si="41">F94/B94</f>
        <v>0</v>
      </c>
      <c r="H94" s="57">
        <f t="shared" ref="H94:H99" si="42">F94+E94</f>
        <v>600266.30999999994</v>
      </c>
      <c r="I94" s="56"/>
      <c r="J94" s="56"/>
      <c r="K94" s="56"/>
    </row>
    <row r="95" spans="1:11" x14ac:dyDescent="0.3">
      <c r="A95" s="94" t="s">
        <v>2</v>
      </c>
      <c r="B95" s="6">
        <f t="shared" si="39"/>
        <v>2768239.3999999994</v>
      </c>
      <c r="C95" s="3"/>
      <c r="D95" s="6"/>
      <c r="E95" s="6">
        <f t="shared" si="40"/>
        <v>2768239.3999999994</v>
      </c>
      <c r="F95" s="67"/>
      <c r="G95" s="17">
        <f t="shared" si="41"/>
        <v>0</v>
      </c>
      <c r="H95" s="57">
        <f t="shared" si="42"/>
        <v>2768239.3999999994</v>
      </c>
      <c r="I95" s="56"/>
      <c r="J95" s="56"/>
    </row>
    <row r="96" spans="1:11" x14ac:dyDescent="0.3">
      <c r="A96" s="7" t="s">
        <v>3</v>
      </c>
      <c r="B96" s="6">
        <f t="shared" si="39"/>
        <v>698000.33</v>
      </c>
      <c r="C96" s="3"/>
      <c r="D96" s="6"/>
      <c r="E96" s="6">
        <f t="shared" si="40"/>
        <v>698000.33</v>
      </c>
      <c r="F96" s="67"/>
      <c r="G96" s="17">
        <f t="shared" si="41"/>
        <v>0</v>
      </c>
      <c r="H96" s="57">
        <f t="shared" si="42"/>
        <v>698000.33</v>
      </c>
      <c r="I96" s="56"/>
      <c r="J96" s="56"/>
    </row>
    <row r="97" spans="1:12" ht="28.8" x14ac:dyDescent="0.3">
      <c r="A97" s="2" t="s">
        <v>31</v>
      </c>
      <c r="B97" s="6">
        <f t="shared" si="39"/>
        <v>89856.51</v>
      </c>
      <c r="C97" s="3"/>
      <c r="D97" s="6"/>
      <c r="E97" s="6">
        <f t="shared" si="40"/>
        <v>89856.51</v>
      </c>
      <c r="F97" s="67"/>
      <c r="G97" s="17">
        <f t="shared" si="41"/>
        <v>0</v>
      </c>
      <c r="H97" s="57">
        <f t="shared" si="42"/>
        <v>89856.51</v>
      </c>
      <c r="I97" s="56"/>
      <c r="J97" s="56"/>
    </row>
    <row r="98" spans="1:12" x14ac:dyDescent="0.3">
      <c r="A98" s="95"/>
      <c r="B98" s="6">
        <f t="shared" si="39"/>
        <v>0</v>
      </c>
      <c r="C98" s="3"/>
      <c r="D98" s="6"/>
      <c r="E98" s="6">
        <f t="shared" si="40"/>
        <v>0</v>
      </c>
      <c r="F98" s="67"/>
      <c r="G98" s="17" t="e">
        <f t="shared" si="41"/>
        <v>#DIV/0!</v>
      </c>
      <c r="H98" s="57">
        <f t="shared" si="42"/>
        <v>0</v>
      </c>
      <c r="J98" s="56"/>
    </row>
    <row r="99" spans="1:12" ht="15" thickBot="1" x14ac:dyDescent="0.35">
      <c r="A99" s="96"/>
      <c r="B99" s="6">
        <f t="shared" si="39"/>
        <v>0</v>
      </c>
      <c r="C99" s="8"/>
      <c r="D99" s="6"/>
      <c r="E99" s="6">
        <f t="shared" si="40"/>
        <v>0</v>
      </c>
      <c r="F99" s="67"/>
      <c r="G99" s="17" t="e">
        <f t="shared" si="41"/>
        <v>#DIV/0!</v>
      </c>
      <c r="H99" s="57">
        <f t="shared" si="42"/>
        <v>0</v>
      </c>
      <c r="J99" s="56"/>
    </row>
    <row r="100" spans="1:12" ht="15" thickBot="1" x14ac:dyDescent="0.35">
      <c r="A100" s="9" t="s">
        <v>6</v>
      </c>
      <c r="B100" s="19">
        <f>SUM(B94:B99)</f>
        <v>4156362.5499999993</v>
      </c>
      <c r="C100" s="10"/>
      <c r="D100" s="10"/>
      <c r="E100" s="10"/>
      <c r="F100" s="64">
        <f>SUM(F94:F99)</f>
        <v>0</v>
      </c>
      <c r="G100" s="18"/>
      <c r="H100" s="11">
        <f>SUM(H94:H99)</f>
        <v>4156362.5499999993</v>
      </c>
    </row>
    <row r="101" spans="1:12" ht="15" thickBot="1" x14ac:dyDescent="0.35"/>
    <row r="102" spans="1:12" ht="29.4" thickBot="1" x14ac:dyDescent="0.35">
      <c r="A102" s="20">
        <v>46357</v>
      </c>
      <c r="B102" s="21" t="s">
        <v>4</v>
      </c>
      <c r="C102" s="21" t="s">
        <v>0</v>
      </c>
      <c r="D102" s="21" t="s">
        <v>5</v>
      </c>
      <c r="E102" s="22" t="s">
        <v>8</v>
      </c>
      <c r="F102" s="23" t="s">
        <v>10</v>
      </c>
      <c r="G102" s="24" t="s">
        <v>9</v>
      </c>
      <c r="H102" s="22" t="s">
        <v>51</v>
      </c>
    </row>
    <row r="103" spans="1:12" ht="28.8" x14ac:dyDescent="0.3">
      <c r="A103" s="93" t="s">
        <v>1</v>
      </c>
      <c r="B103" s="6">
        <f t="shared" ref="B103:B108" si="43">H94</f>
        <v>600266.30999999994</v>
      </c>
      <c r="C103" s="6"/>
      <c r="D103" s="6"/>
      <c r="E103" s="6">
        <f t="shared" ref="E103:E108" si="44">C103+B103-D103</f>
        <v>600266.30999999994</v>
      </c>
      <c r="F103" s="67"/>
      <c r="G103" s="17">
        <f t="shared" ref="G103:G108" si="45">F103/B103</f>
        <v>0</v>
      </c>
      <c r="H103" s="57">
        <f t="shared" ref="H103:H108" si="46">F103+E103</f>
        <v>600266.30999999994</v>
      </c>
      <c r="I103" s="56"/>
      <c r="K103" s="56"/>
      <c r="L103" s="56"/>
    </row>
    <row r="104" spans="1:12" x14ac:dyDescent="0.3">
      <c r="A104" s="94" t="s">
        <v>2</v>
      </c>
      <c r="B104" s="6">
        <f t="shared" si="43"/>
        <v>2768239.3999999994</v>
      </c>
      <c r="C104" s="3"/>
      <c r="D104" s="6"/>
      <c r="E104" s="6">
        <f t="shared" si="44"/>
        <v>2768239.3999999994</v>
      </c>
      <c r="F104" s="67"/>
      <c r="G104" s="17">
        <f t="shared" si="45"/>
        <v>0</v>
      </c>
      <c r="H104" s="57">
        <f t="shared" si="46"/>
        <v>2768239.3999999994</v>
      </c>
      <c r="I104" s="56"/>
    </row>
    <row r="105" spans="1:12" x14ac:dyDescent="0.3">
      <c r="A105" s="7" t="s">
        <v>3</v>
      </c>
      <c r="B105" s="6">
        <f t="shared" si="43"/>
        <v>698000.33</v>
      </c>
      <c r="C105" s="3"/>
      <c r="D105" s="6"/>
      <c r="E105" s="6">
        <f t="shared" si="44"/>
        <v>698000.33</v>
      </c>
      <c r="F105" s="67"/>
      <c r="G105" s="17">
        <f t="shared" si="45"/>
        <v>0</v>
      </c>
      <c r="H105" s="57">
        <f t="shared" si="46"/>
        <v>698000.33</v>
      </c>
      <c r="I105" s="56"/>
    </row>
    <row r="106" spans="1:12" ht="28.8" x14ac:dyDescent="0.3">
      <c r="A106" s="2" t="s">
        <v>31</v>
      </c>
      <c r="B106" s="6">
        <f t="shared" si="43"/>
        <v>89856.51</v>
      </c>
      <c r="C106" s="3"/>
      <c r="D106" s="6"/>
      <c r="E106" s="6">
        <f t="shared" si="44"/>
        <v>89856.51</v>
      </c>
      <c r="F106" s="67"/>
      <c r="G106" s="17">
        <f t="shared" si="45"/>
        <v>0</v>
      </c>
      <c r="H106" s="57">
        <f t="shared" si="46"/>
        <v>89856.51</v>
      </c>
      <c r="I106" s="56"/>
    </row>
    <row r="107" spans="1:12" x14ac:dyDescent="0.3">
      <c r="A107" s="95"/>
      <c r="B107" s="6">
        <f t="shared" si="43"/>
        <v>0</v>
      </c>
      <c r="C107" s="3"/>
      <c r="D107" s="6"/>
      <c r="E107" s="6">
        <f t="shared" si="44"/>
        <v>0</v>
      </c>
      <c r="F107" s="67"/>
      <c r="G107" s="17" t="e">
        <f t="shared" si="45"/>
        <v>#DIV/0!</v>
      </c>
      <c r="H107" s="57">
        <f t="shared" si="46"/>
        <v>0</v>
      </c>
      <c r="I107" s="56"/>
    </row>
    <row r="108" spans="1:12" ht="15" thickBot="1" x14ac:dyDescent="0.35">
      <c r="A108" s="96"/>
      <c r="B108" s="6">
        <f t="shared" si="43"/>
        <v>0</v>
      </c>
      <c r="C108" s="8"/>
      <c r="D108" s="6"/>
      <c r="E108" s="6">
        <f t="shared" si="44"/>
        <v>0</v>
      </c>
      <c r="F108" s="67"/>
      <c r="G108" s="17" t="e">
        <f t="shared" si="45"/>
        <v>#DIV/0!</v>
      </c>
      <c r="H108" s="57">
        <f t="shared" si="46"/>
        <v>0</v>
      </c>
      <c r="I108" s="56"/>
    </row>
    <row r="109" spans="1:12" ht="15" thickBot="1" x14ac:dyDescent="0.35">
      <c r="A109" s="9" t="s">
        <v>6</v>
      </c>
      <c r="B109" s="19">
        <f>SUM(B103:B108)</f>
        <v>4156362.5499999993</v>
      </c>
      <c r="C109" s="10"/>
      <c r="D109" s="10"/>
      <c r="E109" s="10"/>
      <c r="F109" s="64">
        <f>SUM(F103:F108)</f>
        <v>0</v>
      </c>
      <c r="G109" s="18"/>
      <c r="H109" s="11">
        <f>SUM(H103:H108)</f>
        <v>4156362.5499999993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B560-7C0B-4C2E-B7DA-CF7EB45030E7}">
  <sheetPr>
    <tabColor theme="5" tint="-0.249977111117893"/>
  </sheetPr>
  <dimension ref="A2:L197"/>
  <sheetViews>
    <sheetView tabSelected="1" topLeftCell="A30" zoomScaleNormal="100" workbookViewId="0">
      <selection activeCell="C41" sqref="C41"/>
    </sheetView>
  </sheetViews>
  <sheetFormatPr defaultRowHeight="14.4" x14ac:dyDescent="0.3"/>
  <cols>
    <col min="1" max="1" width="15.77734375" style="1" customWidth="1"/>
    <col min="2" max="2" width="15.109375" style="1" customWidth="1"/>
    <col min="3" max="4" width="14.21875" style="1" bestFit="1" customWidth="1"/>
    <col min="5" max="5" width="14.21875" style="1" customWidth="1"/>
    <col min="6" max="6" width="15.44140625" style="14" customWidth="1"/>
    <col min="7" max="7" width="14.21875" style="16" customWidth="1"/>
    <col min="8" max="8" width="15.33203125" style="1" bestFit="1" customWidth="1"/>
    <col min="9" max="9" width="15.21875" bestFit="1" customWidth="1"/>
    <col min="10" max="10" width="14.88671875" bestFit="1" customWidth="1"/>
    <col min="11" max="11" width="15.21875" bestFit="1" customWidth="1"/>
    <col min="12" max="12" width="14.21875" bestFit="1" customWidth="1"/>
  </cols>
  <sheetData>
    <row r="2" spans="1:10" ht="15" thickBot="1" x14ac:dyDescent="0.35"/>
    <row r="3" spans="1:10" ht="29.4" thickBot="1" x14ac:dyDescent="0.35">
      <c r="A3" s="30">
        <v>46023</v>
      </c>
      <c r="B3" s="31" t="s">
        <v>4</v>
      </c>
      <c r="C3" s="31" t="s">
        <v>0</v>
      </c>
      <c r="D3" s="31" t="s">
        <v>5</v>
      </c>
      <c r="E3" s="32" t="s">
        <v>8</v>
      </c>
      <c r="F3" s="33" t="s">
        <v>10</v>
      </c>
      <c r="G3" s="34" t="s">
        <v>9</v>
      </c>
      <c r="H3" s="32" t="s">
        <v>41</v>
      </c>
    </row>
    <row r="4" spans="1:10" ht="15" thickBot="1" x14ac:dyDescent="0.35">
      <c r="A4" s="35" t="s">
        <v>17</v>
      </c>
      <c r="B4" s="6">
        <v>1245.19</v>
      </c>
      <c r="C4" s="6"/>
      <c r="D4" s="6"/>
      <c r="E4" s="6">
        <f t="shared" ref="E4:E10" si="0">C4+B4-D4</f>
        <v>1245.19</v>
      </c>
      <c r="F4" s="15"/>
      <c r="G4" s="17">
        <f>F4/B4</f>
        <v>0</v>
      </c>
      <c r="H4" s="57">
        <f t="shared" ref="H4:H10" si="1">F4+E4</f>
        <v>1245.19</v>
      </c>
      <c r="I4" s="56"/>
      <c r="J4" s="56"/>
    </row>
    <row r="5" spans="1:10" ht="15" thickBot="1" x14ac:dyDescent="0.35">
      <c r="A5" s="35" t="s">
        <v>11</v>
      </c>
      <c r="B5" s="58">
        <v>683661.4</v>
      </c>
      <c r="C5" s="3"/>
      <c r="D5" s="6"/>
      <c r="E5" s="6">
        <f t="shared" si="0"/>
        <v>683661.4</v>
      </c>
      <c r="F5" s="15">
        <v>7342.48</v>
      </c>
      <c r="G5" s="17">
        <f t="shared" ref="G5:G10" si="2">F5/B5</f>
        <v>1.0739936465624648E-2</v>
      </c>
      <c r="H5" s="57">
        <f t="shared" si="1"/>
        <v>691003.88</v>
      </c>
      <c r="I5" s="56"/>
      <c r="J5" s="56"/>
    </row>
    <row r="6" spans="1:10" ht="15" thickBot="1" x14ac:dyDescent="0.35">
      <c r="A6" s="35" t="s">
        <v>12</v>
      </c>
      <c r="B6" s="58">
        <v>381903.41</v>
      </c>
      <c r="C6" s="3"/>
      <c r="D6" s="6"/>
      <c r="E6" s="6">
        <f t="shared" si="0"/>
        <v>381903.41</v>
      </c>
      <c r="F6" s="15">
        <v>4289.5200000000004</v>
      </c>
      <c r="G6" s="17">
        <f t="shared" si="2"/>
        <v>1.1231949984421456E-2</v>
      </c>
      <c r="H6" s="57">
        <f t="shared" si="1"/>
        <v>386192.93</v>
      </c>
      <c r="I6" s="56"/>
      <c r="J6" s="56"/>
    </row>
    <row r="7" spans="1:10" ht="15" thickBot="1" x14ac:dyDescent="0.35">
      <c r="A7" s="35" t="s">
        <v>13</v>
      </c>
      <c r="B7" s="58">
        <v>5943.13</v>
      </c>
      <c r="C7" s="3"/>
      <c r="D7" s="6"/>
      <c r="E7" s="6">
        <f t="shared" si="0"/>
        <v>5943.13</v>
      </c>
      <c r="F7" s="15"/>
      <c r="G7" s="17">
        <f t="shared" si="2"/>
        <v>0</v>
      </c>
      <c r="H7" s="57">
        <f t="shared" si="1"/>
        <v>5943.13</v>
      </c>
      <c r="I7" s="56"/>
      <c r="J7" s="56"/>
    </row>
    <row r="8" spans="1:10" ht="43.8" thickBot="1" x14ac:dyDescent="0.35">
      <c r="A8" s="35" t="s">
        <v>16</v>
      </c>
      <c r="B8" s="58">
        <v>201239.38</v>
      </c>
      <c r="C8" s="3"/>
      <c r="D8" s="6"/>
      <c r="E8" s="6">
        <f>C8+B8-D8</f>
        <v>201239.38</v>
      </c>
      <c r="F8" s="15">
        <v>2392.54</v>
      </c>
      <c r="G8" s="17">
        <f>F8/B8</f>
        <v>1.1889024901587353E-2</v>
      </c>
      <c r="H8" s="57">
        <f t="shared" si="1"/>
        <v>203631.92</v>
      </c>
      <c r="I8" s="123"/>
      <c r="J8" s="123"/>
    </row>
    <row r="9" spans="1:10" ht="15" thickBot="1" x14ac:dyDescent="0.35">
      <c r="A9" s="35" t="s">
        <v>32</v>
      </c>
      <c r="B9" s="58">
        <v>248447.51</v>
      </c>
      <c r="C9" s="3"/>
      <c r="D9" s="6">
        <v>13000</v>
      </c>
      <c r="E9" s="6">
        <f t="shared" si="0"/>
        <v>235447.51</v>
      </c>
      <c r="F9" s="15">
        <v>2688.34</v>
      </c>
      <c r="G9" s="17">
        <f>F9/B9</f>
        <v>1.0820555215063334E-2</v>
      </c>
      <c r="H9" s="57">
        <f t="shared" si="1"/>
        <v>238135.85</v>
      </c>
      <c r="I9" s="56"/>
      <c r="J9" s="56"/>
    </row>
    <row r="10" spans="1:10" ht="15" thickBot="1" x14ac:dyDescent="0.35">
      <c r="A10" s="35" t="s">
        <v>33</v>
      </c>
      <c r="B10" s="58">
        <v>6712279.9500000002</v>
      </c>
      <c r="C10" s="3"/>
      <c r="D10" s="6">
        <v>10000</v>
      </c>
      <c r="E10" s="6">
        <f t="shared" si="0"/>
        <v>6702279.9500000002</v>
      </c>
      <c r="F10" s="15">
        <v>70402.37</v>
      </c>
      <c r="G10" s="17">
        <f t="shared" si="2"/>
        <v>1.0488592627904322E-2</v>
      </c>
      <c r="H10" s="57">
        <f t="shared" si="1"/>
        <v>6772682.3200000003</v>
      </c>
      <c r="I10" s="56"/>
      <c r="J10" s="56"/>
    </row>
    <row r="11" spans="1:10" ht="15" thickBot="1" x14ac:dyDescent="0.35">
      <c r="A11" s="35" t="s">
        <v>34</v>
      </c>
      <c r="B11" s="59">
        <v>624683.41</v>
      </c>
      <c r="C11" s="8"/>
      <c r="D11" s="6"/>
      <c r="E11" s="6">
        <f>C11+B11-D11</f>
        <v>624683.41</v>
      </c>
      <c r="F11" s="15">
        <v>5904.12</v>
      </c>
      <c r="G11" s="17">
        <f>F11/B11</f>
        <v>9.4513795395975049E-3</v>
      </c>
      <c r="H11" s="57">
        <f>F11+E11</f>
        <v>630587.53</v>
      </c>
      <c r="I11" s="56"/>
      <c r="J11" s="56"/>
    </row>
    <row r="12" spans="1:10" ht="15" thickBot="1" x14ac:dyDescent="0.35">
      <c r="A12" s="120" t="s">
        <v>38</v>
      </c>
      <c r="B12" s="59">
        <v>84775.19</v>
      </c>
      <c r="C12" s="8"/>
      <c r="D12" s="6"/>
      <c r="E12" s="6">
        <f>C12+B12-D12</f>
        <v>84775.19</v>
      </c>
      <c r="F12" s="15">
        <v>768.45</v>
      </c>
      <c r="G12" s="17">
        <f>F12/B12</f>
        <v>9.0645624032219801E-3</v>
      </c>
      <c r="H12" s="57">
        <f>F12+E12</f>
        <v>85543.64</v>
      </c>
      <c r="I12" s="56"/>
      <c r="J12" s="56"/>
    </row>
    <row r="13" spans="1:10" ht="43.8" thickBot="1" x14ac:dyDescent="0.35">
      <c r="A13" s="120" t="s">
        <v>40</v>
      </c>
      <c r="B13" s="59">
        <v>4632.28</v>
      </c>
      <c r="C13" s="8"/>
      <c r="D13" s="6"/>
      <c r="E13" s="6">
        <f>C13+B13-D13</f>
        <v>4632.28</v>
      </c>
      <c r="F13" s="15">
        <v>64.66</v>
      </c>
      <c r="G13" s="17">
        <f>F13/B13</f>
        <v>1.3958568998419785E-2</v>
      </c>
      <c r="H13" s="57">
        <f>F13+E13</f>
        <v>4696.9399999999996</v>
      </c>
      <c r="I13" s="56"/>
      <c r="J13" s="56"/>
    </row>
    <row r="14" spans="1:10" ht="29.4" thickBot="1" x14ac:dyDescent="0.35">
      <c r="A14" s="120" t="s">
        <v>39</v>
      </c>
      <c r="B14" s="58">
        <v>306310.11</v>
      </c>
      <c r="C14" s="3"/>
      <c r="D14" s="3">
        <v>54000</v>
      </c>
      <c r="E14" s="3">
        <f>C14+B14-D14</f>
        <v>252310.11</v>
      </c>
      <c r="F14" s="100">
        <v>2537.8200000000002</v>
      </c>
      <c r="G14" s="101">
        <f>F14/B14</f>
        <v>8.2851329980587335E-3</v>
      </c>
      <c r="H14" s="58">
        <f>F14+E14</f>
        <v>254847.93</v>
      </c>
      <c r="I14" s="56"/>
      <c r="J14" s="56"/>
    </row>
    <row r="15" spans="1:10" ht="15" thickBot="1" x14ac:dyDescent="0.35">
      <c r="A15" s="120"/>
      <c r="B15" s="58"/>
      <c r="C15" s="3"/>
      <c r="D15" s="3"/>
      <c r="E15" s="3"/>
      <c r="F15" s="100"/>
      <c r="G15" s="101"/>
      <c r="H15" s="58"/>
      <c r="I15" s="56"/>
      <c r="J15" s="56"/>
    </row>
    <row r="16" spans="1:10" ht="15" thickBot="1" x14ac:dyDescent="0.35">
      <c r="A16" s="120"/>
      <c r="B16" s="58"/>
      <c r="C16" s="3"/>
      <c r="D16" s="3"/>
      <c r="E16" s="3"/>
      <c r="F16" s="100"/>
      <c r="G16" s="101"/>
      <c r="H16" s="58"/>
      <c r="I16" s="56"/>
      <c r="J16" s="56"/>
    </row>
    <row r="17" spans="1:11" ht="15" thickBot="1" x14ac:dyDescent="0.35">
      <c r="A17" s="9" t="s">
        <v>6</v>
      </c>
      <c r="B17" s="99">
        <f>SUM(B4:B14)</f>
        <v>9255120.9599999972</v>
      </c>
      <c r="C17" s="126"/>
      <c r="D17" s="126"/>
      <c r="E17" s="126"/>
      <c r="F17" s="99">
        <f>SUM(F4:F14)</f>
        <v>96390.3</v>
      </c>
      <c r="G17" s="127"/>
      <c r="H17" s="128">
        <f>SUM(H4:H14)</f>
        <v>9274511.2599999998</v>
      </c>
    </row>
    <row r="18" spans="1:11" ht="15" thickBot="1" x14ac:dyDescent="0.35"/>
    <row r="19" spans="1:11" ht="29.4" thickBot="1" x14ac:dyDescent="0.35">
      <c r="A19" s="30">
        <v>46054</v>
      </c>
      <c r="B19" s="31" t="s">
        <v>4</v>
      </c>
      <c r="C19" s="31" t="s">
        <v>0</v>
      </c>
      <c r="D19" s="31" t="s">
        <v>5</v>
      </c>
      <c r="E19" s="32" t="s">
        <v>8</v>
      </c>
      <c r="F19" s="33" t="s">
        <v>10</v>
      </c>
      <c r="G19" s="34" t="s">
        <v>9</v>
      </c>
      <c r="H19" s="32" t="s">
        <v>52</v>
      </c>
    </row>
    <row r="20" spans="1:11" ht="15" thickBot="1" x14ac:dyDescent="0.35">
      <c r="A20" s="35" t="s">
        <v>17</v>
      </c>
      <c r="B20" s="6">
        <f t="shared" ref="B20:B30" si="3">H4</f>
        <v>1245.19</v>
      </c>
      <c r="C20" s="6"/>
      <c r="D20" s="6"/>
      <c r="E20" s="6">
        <f t="shared" ref="E20:E23" si="4">C20+B20-D20</f>
        <v>1245.19</v>
      </c>
      <c r="F20" s="15">
        <v>180.36</v>
      </c>
      <c r="G20" s="17">
        <f>F20/B20</f>
        <v>0.14484536496438294</v>
      </c>
      <c r="H20" s="57">
        <f t="shared" ref="H20:H26" si="5">F20+E20</f>
        <v>1425.5500000000002</v>
      </c>
      <c r="I20" s="123"/>
      <c r="J20" s="56"/>
      <c r="K20" s="56"/>
    </row>
    <row r="21" spans="1:11" ht="15" thickBot="1" x14ac:dyDescent="0.35">
      <c r="A21" s="35" t="s">
        <v>11</v>
      </c>
      <c r="B21" s="6">
        <f t="shared" si="3"/>
        <v>691003.88</v>
      </c>
      <c r="C21" s="3"/>
      <c r="D21" s="6"/>
      <c r="E21" s="6">
        <f t="shared" si="4"/>
        <v>691003.88</v>
      </c>
      <c r="F21" s="15">
        <v>6364.54</v>
      </c>
      <c r="G21" s="17">
        <f t="shared" ref="G21:G23" si="6">F21/B21</f>
        <v>9.2105705687209743E-3</v>
      </c>
      <c r="H21" s="57">
        <f t="shared" si="5"/>
        <v>697368.42</v>
      </c>
      <c r="I21" s="123"/>
      <c r="J21" s="56"/>
      <c r="K21" s="56"/>
    </row>
    <row r="22" spans="1:11" ht="15" thickBot="1" x14ac:dyDescent="0.35">
      <c r="A22" s="35" t="s">
        <v>12</v>
      </c>
      <c r="B22" s="6">
        <f t="shared" si="3"/>
        <v>386192.93</v>
      </c>
      <c r="C22" s="3"/>
      <c r="D22" s="6"/>
      <c r="E22" s="6">
        <f t="shared" si="4"/>
        <v>386192.93</v>
      </c>
      <c r="F22" s="15">
        <v>3715.05</v>
      </c>
      <c r="G22" s="17">
        <f t="shared" si="6"/>
        <v>9.6196737728989502E-3</v>
      </c>
      <c r="H22" s="57">
        <f t="shared" si="5"/>
        <v>389907.98</v>
      </c>
      <c r="I22" s="123"/>
      <c r="J22" s="56"/>
      <c r="K22" s="56"/>
    </row>
    <row r="23" spans="1:11" ht="15" thickBot="1" x14ac:dyDescent="0.35">
      <c r="A23" s="35" t="s">
        <v>13</v>
      </c>
      <c r="B23" s="6">
        <f t="shared" si="3"/>
        <v>5943.13</v>
      </c>
      <c r="C23" s="3"/>
      <c r="D23" s="6"/>
      <c r="E23" s="6">
        <f t="shared" si="4"/>
        <v>5943.13</v>
      </c>
      <c r="F23" s="15">
        <v>503.13</v>
      </c>
      <c r="G23" s="17">
        <f t="shared" si="6"/>
        <v>8.465741116213174E-2</v>
      </c>
      <c r="H23" s="57">
        <f t="shared" si="5"/>
        <v>6446.26</v>
      </c>
      <c r="I23" s="123"/>
      <c r="J23" s="56"/>
      <c r="K23" s="56"/>
    </row>
    <row r="24" spans="1:11" ht="43.8" thickBot="1" x14ac:dyDescent="0.35">
      <c r="A24" s="35" t="s">
        <v>16</v>
      </c>
      <c r="B24" s="6">
        <f t="shared" si="3"/>
        <v>203631.92</v>
      </c>
      <c r="C24" s="3"/>
      <c r="D24" s="6"/>
      <c r="E24" s="6">
        <f>C24+B24-D24</f>
        <v>203631.92</v>
      </c>
      <c r="F24" s="15">
        <v>1858.25</v>
      </c>
      <c r="G24" s="17">
        <f>F24/B24</f>
        <v>9.1255339536159153E-3</v>
      </c>
      <c r="H24" s="57">
        <f t="shared" si="5"/>
        <v>205490.17</v>
      </c>
      <c r="I24" s="123"/>
      <c r="J24" s="56"/>
      <c r="K24" s="56"/>
    </row>
    <row r="25" spans="1:11" ht="15" thickBot="1" x14ac:dyDescent="0.35">
      <c r="A25" s="35" t="s">
        <v>32</v>
      </c>
      <c r="B25" s="6">
        <f t="shared" si="3"/>
        <v>238135.85</v>
      </c>
      <c r="C25" s="3"/>
      <c r="D25" s="6">
        <v>70000</v>
      </c>
      <c r="E25" s="6">
        <f t="shared" ref="E25:E26" si="7">C25+B25-D25</f>
        <v>168135.85</v>
      </c>
      <c r="F25" s="15">
        <v>1928.85</v>
      </c>
      <c r="G25" s="17">
        <f>F25/B25</f>
        <v>8.0997884190893554E-3</v>
      </c>
      <c r="H25" s="57">
        <f t="shared" si="5"/>
        <v>170064.7</v>
      </c>
      <c r="I25" s="123"/>
      <c r="J25" s="56"/>
      <c r="K25" s="56"/>
    </row>
    <row r="26" spans="1:11" ht="15" thickBot="1" x14ac:dyDescent="0.35">
      <c r="A26" s="35" t="s">
        <v>33</v>
      </c>
      <c r="B26" s="6">
        <f t="shared" si="3"/>
        <v>6772682.3200000003</v>
      </c>
      <c r="C26" s="3"/>
      <c r="D26" s="6"/>
      <c r="E26" s="6">
        <f t="shared" si="7"/>
        <v>6772682.3200000003</v>
      </c>
      <c r="F26" s="15">
        <v>54140.95</v>
      </c>
      <c r="G26" s="17">
        <f t="shared" ref="G26" si="8">F26/B26</f>
        <v>7.9940188306366622E-3</v>
      </c>
      <c r="H26" s="57">
        <f t="shared" si="5"/>
        <v>6826823.2700000005</v>
      </c>
      <c r="I26" s="123"/>
      <c r="J26" s="56"/>
      <c r="K26" s="56"/>
    </row>
    <row r="27" spans="1:11" ht="15" thickBot="1" x14ac:dyDescent="0.35">
      <c r="A27" s="35" t="s">
        <v>34</v>
      </c>
      <c r="B27" s="6">
        <f t="shared" si="3"/>
        <v>630587.53</v>
      </c>
      <c r="C27" s="8"/>
      <c r="D27" s="6"/>
      <c r="E27" s="6">
        <f>C27+B27-D27</f>
        <v>630587.53</v>
      </c>
      <c r="F27" s="15">
        <v>7406.04</v>
      </c>
      <c r="G27" s="17">
        <f>F27/B27</f>
        <v>1.1744666121133096E-2</v>
      </c>
      <c r="H27" s="57">
        <f>F27+E27</f>
        <v>637993.57000000007</v>
      </c>
      <c r="I27" s="1"/>
      <c r="J27" s="56"/>
      <c r="K27" s="56"/>
    </row>
    <row r="28" spans="1:11" ht="15" thickBot="1" x14ac:dyDescent="0.35">
      <c r="A28" s="120" t="s">
        <v>38</v>
      </c>
      <c r="B28" s="6">
        <f t="shared" si="3"/>
        <v>85543.64</v>
      </c>
      <c r="C28" s="8"/>
      <c r="D28" s="6">
        <f>12000.68+26000.65</f>
        <v>38001.33</v>
      </c>
      <c r="E28" s="6">
        <f>C28+B28-D28</f>
        <v>47542.31</v>
      </c>
      <c r="F28" s="15">
        <v>817.25</v>
      </c>
      <c r="G28" s="17">
        <f>F28/B28</f>
        <v>9.5536032836573241E-3</v>
      </c>
      <c r="H28" s="57">
        <f>F28+E28</f>
        <v>48359.56</v>
      </c>
      <c r="I28" s="1"/>
      <c r="J28" s="56"/>
      <c r="K28" s="56"/>
    </row>
    <row r="29" spans="1:11" ht="43.8" thickBot="1" x14ac:dyDescent="0.35">
      <c r="A29" s="120" t="s">
        <v>40</v>
      </c>
      <c r="B29" s="6">
        <f t="shared" si="3"/>
        <v>4696.9399999999996</v>
      </c>
      <c r="C29" s="8"/>
      <c r="D29" s="6">
        <v>4714.07</v>
      </c>
      <c r="E29" s="6">
        <f>C29+B29-D29</f>
        <v>-17.130000000000109</v>
      </c>
      <c r="F29" s="15">
        <v>17.13</v>
      </c>
      <c r="G29" s="17">
        <f>F29/B29</f>
        <v>3.6470553168658744E-3</v>
      </c>
      <c r="H29" s="57">
        <f>F29+E29</f>
        <v>-1.1013412404281553E-13</v>
      </c>
      <c r="I29" s="123"/>
      <c r="J29" s="56"/>
      <c r="K29" s="56"/>
    </row>
    <row r="30" spans="1:11" ht="29.4" thickBot="1" x14ac:dyDescent="0.35">
      <c r="A30" s="120" t="s">
        <v>39</v>
      </c>
      <c r="B30" s="6">
        <f t="shared" si="3"/>
        <v>254847.93</v>
      </c>
      <c r="C30" s="8"/>
      <c r="D30" s="6">
        <v>6500</v>
      </c>
      <c r="E30" s="6">
        <f>C30+B30-D30</f>
        <v>248347.93</v>
      </c>
      <c r="F30" s="15">
        <v>2776.76</v>
      </c>
      <c r="G30" s="17">
        <f>F30/B30</f>
        <v>1.0895752616079717E-2</v>
      </c>
      <c r="H30" s="57">
        <f>F30+E30</f>
        <v>251124.69</v>
      </c>
      <c r="I30" s="1"/>
      <c r="J30" s="56"/>
      <c r="K30" s="56"/>
    </row>
    <row r="31" spans="1:11" ht="15" thickBot="1" x14ac:dyDescent="0.35">
      <c r="A31" s="35"/>
      <c r="B31" s="6"/>
      <c r="C31" s="3"/>
      <c r="D31" s="6"/>
      <c r="E31" s="6"/>
      <c r="F31" s="67"/>
      <c r="G31" s="68"/>
      <c r="H31" s="57"/>
      <c r="K31" s="56"/>
    </row>
    <row r="32" spans="1:11" ht="15" thickBot="1" x14ac:dyDescent="0.35">
      <c r="A32" s="35"/>
      <c r="B32" s="6"/>
      <c r="C32" s="3"/>
      <c r="D32" s="6"/>
      <c r="E32" s="6"/>
      <c r="F32" s="67"/>
      <c r="G32" s="68"/>
      <c r="H32" s="57"/>
      <c r="K32" s="56"/>
    </row>
    <row r="33" spans="1:11" ht="15" thickBot="1" x14ac:dyDescent="0.35">
      <c r="A33" s="9" t="s">
        <v>6</v>
      </c>
      <c r="B33" s="36">
        <f>SUM(B20:B32)</f>
        <v>9274511.2599999998</v>
      </c>
      <c r="C33" s="10"/>
      <c r="D33" s="10"/>
      <c r="E33" s="10"/>
      <c r="F33" s="36">
        <f>SUM(F20:F32)</f>
        <v>79708.31</v>
      </c>
      <c r="G33" s="18"/>
      <c r="H33" s="11">
        <f>SUM(H20:H32)</f>
        <v>9235004.1699999999</v>
      </c>
    </row>
    <row r="34" spans="1:11" ht="15" thickBot="1" x14ac:dyDescent="0.35"/>
    <row r="35" spans="1:11" ht="29.4" thickBot="1" x14ac:dyDescent="0.35">
      <c r="A35" s="30">
        <v>46082</v>
      </c>
      <c r="B35" s="31" t="s">
        <v>4</v>
      </c>
      <c r="C35" s="31" t="s">
        <v>0</v>
      </c>
      <c r="D35" s="31" t="s">
        <v>5</v>
      </c>
      <c r="E35" s="32" t="s">
        <v>8</v>
      </c>
      <c r="F35" s="33" t="s">
        <v>10</v>
      </c>
      <c r="G35" s="34" t="s">
        <v>9</v>
      </c>
      <c r="H35" s="32" t="s">
        <v>42</v>
      </c>
    </row>
    <row r="36" spans="1:11" ht="15" thickBot="1" x14ac:dyDescent="0.35">
      <c r="A36" s="35" t="s">
        <v>17</v>
      </c>
      <c r="B36" s="6">
        <f t="shared" ref="B36:B46" si="9">H20</f>
        <v>1425.5500000000002</v>
      </c>
      <c r="C36" s="6"/>
      <c r="D36" s="6"/>
      <c r="E36" s="6">
        <f t="shared" ref="E36:E39" si="10">C36+B36-D36</f>
        <v>1425.5500000000002</v>
      </c>
      <c r="F36" s="15"/>
      <c r="G36" s="17">
        <f>F36/B36</f>
        <v>0</v>
      </c>
      <c r="H36" s="57">
        <f t="shared" ref="H36:H42" si="11">F36+E36</f>
        <v>1425.5500000000002</v>
      </c>
      <c r="I36" s="56"/>
      <c r="K36" s="56"/>
    </row>
    <row r="37" spans="1:11" ht="15" thickBot="1" x14ac:dyDescent="0.35">
      <c r="A37" s="35" t="s">
        <v>11</v>
      </c>
      <c r="B37" s="6">
        <f t="shared" si="9"/>
        <v>697368.42</v>
      </c>
      <c r="C37" s="3"/>
      <c r="D37" s="6"/>
      <c r="E37" s="6">
        <f t="shared" si="10"/>
        <v>697368.42</v>
      </c>
      <c r="F37" s="15"/>
      <c r="G37" s="17">
        <f t="shared" ref="G37:G39" si="12">F37/B37</f>
        <v>0</v>
      </c>
      <c r="H37" s="57">
        <f t="shared" si="11"/>
        <v>697368.42</v>
      </c>
      <c r="I37" s="56"/>
    </row>
    <row r="38" spans="1:11" ht="15" thickBot="1" x14ac:dyDescent="0.35">
      <c r="A38" s="35" t="s">
        <v>12</v>
      </c>
      <c r="B38" s="6">
        <f t="shared" si="9"/>
        <v>389907.98</v>
      </c>
      <c r="C38" s="3"/>
      <c r="D38" s="6"/>
      <c r="E38" s="6">
        <f t="shared" si="10"/>
        <v>389907.98</v>
      </c>
      <c r="F38" s="15"/>
      <c r="G38" s="17">
        <f t="shared" si="12"/>
        <v>0</v>
      </c>
      <c r="H38" s="57">
        <f t="shared" si="11"/>
        <v>389907.98</v>
      </c>
      <c r="I38" s="56"/>
      <c r="K38" s="56"/>
    </row>
    <row r="39" spans="1:11" ht="15" thickBot="1" x14ac:dyDescent="0.35">
      <c r="A39" s="35" t="s">
        <v>13</v>
      </c>
      <c r="B39" s="6">
        <f t="shared" si="9"/>
        <v>6446.26</v>
      </c>
      <c r="C39" s="3"/>
      <c r="D39" s="6"/>
      <c r="E39" s="6">
        <f t="shared" si="10"/>
        <v>6446.26</v>
      </c>
      <c r="F39" s="15"/>
      <c r="G39" s="17">
        <f t="shared" si="12"/>
        <v>0</v>
      </c>
      <c r="H39" s="57">
        <f t="shared" si="11"/>
        <v>6446.26</v>
      </c>
      <c r="I39" s="56"/>
      <c r="K39" s="56"/>
    </row>
    <row r="40" spans="1:11" ht="43.8" thickBot="1" x14ac:dyDescent="0.35">
      <c r="A40" s="35" t="s">
        <v>16</v>
      </c>
      <c r="B40" s="6">
        <f t="shared" si="9"/>
        <v>205490.17</v>
      </c>
      <c r="C40" s="3"/>
      <c r="D40" s="6"/>
      <c r="E40" s="6">
        <f>C40+B40-D40</f>
        <v>205490.17</v>
      </c>
      <c r="F40" s="15"/>
      <c r="G40" s="17">
        <f>F40/B40</f>
        <v>0</v>
      </c>
      <c r="H40" s="57">
        <f t="shared" si="11"/>
        <v>205490.17</v>
      </c>
      <c r="I40" s="56"/>
    </row>
    <row r="41" spans="1:11" ht="15" thickBot="1" x14ac:dyDescent="0.35">
      <c r="A41" s="35" t="s">
        <v>32</v>
      </c>
      <c r="B41" s="6">
        <f t="shared" si="9"/>
        <v>170064.7</v>
      </c>
      <c r="C41" s="3">
        <v>1800000</v>
      </c>
      <c r="D41" s="6"/>
      <c r="E41" s="6">
        <f t="shared" ref="E41:E42" si="13">C41+B41-D41</f>
        <v>1970064.7</v>
      </c>
      <c r="F41" s="15"/>
      <c r="G41" s="17">
        <f>F41/B41</f>
        <v>0</v>
      </c>
      <c r="H41" s="57">
        <f t="shared" si="11"/>
        <v>1970064.7</v>
      </c>
      <c r="I41" s="56"/>
    </row>
    <row r="42" spans="1:11" ht="15" thickBot="1" x14ac:dyDescent="0.35">
      <c r="A42" s="35" t="s">
        <v>33</v>
      </c>
      <c r="B42" s="6">
        <f t="shared" si="9"/>
        <v>6826823.2700000005</v>
      </c>
      <c r="C42" s="3"/>
      <c r="D42" s="6">
        <v>1540969.91</v>
      </c>
      <c r="E42" s="6">
        <f t="shared" si="13"/>
        <v>5285853.3600000003</v>
      </c>
      <c r="F42" s="15"/>
      <c r="G42" s="17">
        <f t="shared" ref="G42" si="14">F42/B42</f>
        <v>0</v>
      </c>
      <c r="H42" s="57">
        <f t="shared" si="11"/>
        <v>5285853.3600000003</v>
      </c>
      <c r="I42" s="56"/>
    </row>
    <row r="43" spans="1:11" ht="15" thickBot="1" x14ac:dyDescent="0.35">
      <c r="A43" s="35" t="s">
        <v>34</v>
      </c>
      <c r="B43" s="6">
        <f t="shared" si="9"/>
        <v>637993.57000000007</v>
      </c>
      <c r="C43" s="8"/>
      <c r="D43" s="6"/>
      <c r="E43" s="6">
        <f>C43+B43-D43</f>
        <v>637993.57000000007</v>
      </c>
      <c r="F43" s="15"/>
      <c r="G43" s="17">
        <f>F43/B43</f>
        <v>0</v>
      </c>
      <c r="H43" s="57">
        <f>F43+E43</f>
        <v>637993.57000000007</v>
      </c>
      <c r="I43" s="56"/>
    </row>
    <row r="44" spans="1:11" ht="15" thickBot="1" x14ac:dyDescent="0.35">
      <c r="A44" s="120" t="s">
        <v>38</v>
      </c>
      <c r="B44" s="6">
        <f t="shared" si="9"/>
        <v>48359.56</v>
      </c>
      <c r="C44" s="8"/>
      <c r="D44" s="6">
        <v>26400.65</v>
      </c>
      <c r="E44" s="6">
        <f>C44+B44-D44</f>
        <v>21958.909999999996</v>
      </c>
      <c r="F44" s="15"/>
      <c r="G44" s="17">
        <f>F44/B44</f>
        <v>0</v>
      </c>
      <c r="H44" s="57">
        <f>F44+E44</f>
        <v>21958.909999999996</v>
      </c>
      <c r="I44" s="56"/>
    </row>
    <row r="45" spans="1:11" ht="43.8" thickBot="1" x14ac:dyDescent="0.35">
      <c r="A45" s="120" t="s">
        <v>40</v>
      </c>
      <c r="B45" s="6">
        <f t="shared" si="9"/>
        <v>-1.1013412404281553E-13</v>
      </c>
      <c r="C45" s="8"/>
      <c r="D45" s="6"/>
      <c r="E45" s="6">
        <f>C45+B45-D45</f>
        <v>-1.1013412404281553E-13</v>
      </c>
      <c r="F45" s="15"/>
      <c r="G45" s="17">
        <f>F45/B45</f>
        <v>0</v>
      </c>
      <c r="H45" s="57">
        <f>F45+E45</f>
        <v>-1.1013412404281553E-13</v>
      </c>
      <c r="I45" s="56"/>
    </row>
    <row r="46" spans="1:11" ht="29.4" thickBot="1" x14ac:dyDescent="0.35">
      <c r="A46" s="120" t="s">
        <v>39</v>
      </c>
      <c r="B46" s="6">
        <f t="shared" si="9"/>
        <v>251124.69</v>
      </c>
      <c r="C46" s="8"/>
      <c r="D46" s="6"/>
      <c r="E46" s="6">
        <f>C46+B46-D46</f>
        <v>251124.69</v>
      </c>
      <c r="F46" s="15"/>
      <c r="G46" s="17">
        <f>F46/B46</f>
        <v>0</v>
      </c>
      <c r="H46" s="57">
        <f>F46+E46</f>
        <v>251124.69</v>
      </c>
      <c r="I46" s="56"/>
    </row>
    <row r="47" spans="1:11" ht="15" thickBot="1" x14ac:dyDescent="0.35">
      <c r="A47" s="35"/>
      <c r="B47" s="6"/>
      <c r="C47" s="3"/>
      <c r="D47" s="6"/>
      <c r="E47" s="6"/>
      <c r="F47" s="67"/>
      <c r="G47" s="68"/>
      <c r="H47" s="57"/>
      <c r="I47" s="56"/>
    </row>
    <row r="48" spans="1:11" ht="15" thickBot="1" x14ac:dyDescent="0.35">
      <c r="A48" s="35"/>
      <c r="B48" s="6"/>
      <c r="C48" s="3"/>
      <c r="D48" s="6"/>
      <c r="E48" s="6"/>
      <c r="F48" s="67"/>
      <c r="G48" s="68"/>
      <c r="H48" s="57"/>
    </row>
    <row r="49" spans="1:11" ht="15" thickBot="1" x14ac:dyDescent="0.35">
      <c r="A49" s="9" t="s">
        <v>6</v>
      </c>
      <c r="B49" s="36">
        <f>SUM(B36:B48)</f>
        <v>9235004.1699999999</v>
      </c>
      <c r="C49" s="10"/>
      <c r="D49" s="10"/>
      <c r="E49" s="10"/>
      <c r="F49" s="36">
        <f>SUM(F36:F48)</f>
        <v>0</v>
      </c>
      <c r="G49" s="18"/>
      <c r="H49" s="11">
        <f>SUM(H36:H48)</f>
        <v>9467633.6100000013</v>
      </c>
    </row>
    <row r="50" spans="1:11" ht="15" thickBot="1" x14ac:dyDescent="0.35"/>
    <row r="51" spans="1:11" ht="29.4" thickBot="1" x14ac:dyDescent="0.35">
      <c r="A51" s="30">
        <v>46113</v>
      </c>
      <c r="B51" s="31" t="s">
        <v>4</v>
      </c>
      <c r="C51" s="31" t="s">
        <v>0</v>
      </c>
      <c r="D51" s="31" t="s">
        <v>5</v>
      </c>
      <c r="E51" s="32" t="s">
        <v>8</v>
      </c>
      <c r="F51" s="33" t="s">
        <v>10</v>
      </c>
      <c r="G51" s="34" t="s">
        <v>9</v>
      </c>
      <c r="H51" s="32" t="s">
        <v>43</v>
      </c>
    </row>
    <row r="52" spans="1:11" ht="15" thickBot="1" x14ac:dyDescent="0.35">
      <c r="A52" s="35" t="s">
        <v>17</v>
      </c>
      <c r="B52" s="6">
        <f>H36</f>
        <v>1425.5500000000002</v>
      </c>
      <c r="C52" s="6"/>
      <c r="D52" s="6"/>
      <c r="E52" s="6">
        <f t="shared" ref="E52:E55" si="15">C52+B52-D52</f>
        <v>1425.5500000000002</v>
      </c>
      <c r="F52" s="15"/>
      <c r="G52" s="17">
        <f>F52/B52</f>
        <v>0</v>
      </c>
      <c r="H52" s="57">
        <f t="shared" ref="H52:H58" si="16">F52+E52</f>
        <v>1425.5500000000002</v>
      </c>
      <c r="J52" s="56"/>
      <c r="K52" s="56"/>
    </row>
    <row r="53" spans="1:11" ht="15" thickBot="1" x14ac:dyDescent="0.35">
      <c r="A53" s="35" t="s">
        <v>11</v>
      </c>
      <c r="B53" s="6">
        <f t="shared" ref="B53:B62" si="17">H37</f>
        <v>697368.42</v>
      </c>
      <c r="C53" s="3"/>
      <c r="D53" s="6"/>
      <c r="E53" s="6">
        <f t="shared" si="15"/>
        <v>697368.42</v>
      </c>
      <c r="F53" s="15"/>
      <c r="G53" s="17">
        <f t="shared" ref="G53:G55" si="18">F53/B53</f>
        <v>0</v>
      </c>
      <c r="H53" s="57">
        <f t="shared" si="16"/>
        <v>697368.42</v>
      </c>
      <c r="J53" s="56"/>
      <c r="K53" s="56"/>
    </row>
    <row r="54" spans="1:11" ht="15" thickBot="1" x14ac:dyDescent="0.35">
      <c r="A54" s="35" t="s">
        <v>12</v>
      </c>
      <c r="B54" s="6">
        <f t="shared" si="17"/>
        <v>389907.98</v>
      </c>
      <c r="C54" s="3"/>
      <c r="D54" s="6"/>
      <c r="E54" s="6">
        <f t="shared" si="15"/>
        <v>389907.98</v>
      </c>
      <c r="F54" s="15"/>
      <c r="G54" s="17">
        <f t="shared" si="18"/>
        <v>0</v>
      </c>
      <c r="H54" s="57">
        <f t="shared" si="16"/>
        <v>389907.98</v>
      </c>
      <c r="J54" s="56"/>
      <c r="K54" s="56"/>
    </row>
    <row r="55" spans="1:11" ht="15" thickBot="1" x14ac:dyDescent="0.35">
      <c r="A55" s="35" t="s">
        <v>13</v>
      </c>
      <c r="B55" s="6">
        <f t="shared" si="17"/>
        <v>6446.26</v>
      </c>
      <c r="C55" s="3"/>
      <c r="D55" s="6"/>
      <c r="E55" s="6">
        <f t="shared" si="15"/>
        <v>6446.26</v>
      </c>
      <c r="F55" s="15"/>
      <c r="G55" s="17">
        <f t="shared" si="18"/>
        <v>0</v>
      </c>
      <c r="H55" s="57">
        <f t="shared" si="16"/>
        <v>6446.26</v>
      </c>
      <c r="J55" s="56"/>
      <c r="K55" s="56"/>
    </row>
    <row r="56" spans="1:11" ht="43.8" thickBot="1" x14ac:dyDescent="0.35">
      <c r="A56" s="35" t="s">
        <v>16</v>
      </c>
      <c r="B56" s="6">
        <f t="shared" si="17"/>
        <v>205490.17</v>
      </c>
      <c r="C56" s="3"/>
      <c r="D56" s="6"/>
      <c r="E56" s="6">
        <f>C56+B56-D56</f>
        <v>205490.17</v>
      </c>
      <c r="F56" s="15"/>
      <c r="G56" s="17">
        <f>F56/B56</f>
        <v>0</v>
      </c>
      <c r="H56" s="57">
        <f t="shared" si="16"/>
        <v>205490.17</v>
      </c>
      <c r="J56" s="56"/>
      <c r="K56" s="56"/>
    </row>
    <row r="57" spans="1:11" ht="15" thickBot="1" x14ac:dyDescent="0.35">
      <c r="A57" s="35" t="s">
        <v>32</v>
      </c>
      <c r="B57" s="6">
        <f t="shared" si="17"/>
        <v>1970064.7</v>
      </c>
      <c r="C57" s="3"/>
      <c r="D57" s="6"/>
      <c r="E57" s="6">
        <f t="shared" ref="E57:E58" si="19">C57+B57-D57</f>
        <v>1970064.7</v>
      </c>
      <c r="F57" s="15"/>
      <c r="G57" s="17">
        <f>F57/B57</f>
        <v>0</v>
      </c>
      <c r="H57" s="57">
        <f t="shared" si="16"/>
        <v>1970064.7</v>
      </c>
      <c r="J57" s="56"/>
      <c r="K57" s="56"/>
    </row>
    <row r="58" spans="1:11" ht="15" thickBot="1" x14ac:dyDescent="0.35">
      <c r="A58" s="35" t="s">
        <v>33</v>
      </c>
      <c r="B58" s="6">
        <f t="shared" si="17"/>
        <v>5285853.3600000003</v>
      </c>
      <c r="C58" s="3"/>
      <c r="D58" s="6"/>
      <c r="E58" s="6">
        <f t="shared" si="19"/>
        <v>5285853.3600000003</v>
      </c>
      <c r="F58" s="15"/>
      <c r="G58" s="17">
        <f t="shared" ref="G58" si="20">F58/B58</f>
        <v>0</v>
      </c>
      <c r="H58" s="57">
        <f t="shared" si="16"/>
        <v>5285853.3600000003</v>
      </c>
      <c r="J58" s="56"/>
      <c r="K58" s="56"/>
    </row>
    <row r="59" spans="1:11" ht="15" thickBot="1" x14ac:dyDescent="0.35">
      <c r="A59" s="35" t="s">
        <v>34</v>
      </c>
      <c r="B59" s="6">
        <f t="shared" si="17"/>
        <v>637993.57000000007</v>
      </c>
      <c r="C59" s="8"/>
      <c r="D59" s="6"/>
      <c r="E59" s="6">
        <f>C59+B59-D59</f>
        <v>637993.57000000007</v>
      </c>
      <c r="F59" s="15"/>
      <c r="G59" s="17">
        <f>F59/B59</f>
        <v>0</v>
      </c>
      <c r="H59" s="57">
        <f>F59+E59</f>
        <v>637993.57000000007</v>
      </c>
      <c r="J59" s="56"/>
      <c r="K59" s="56"/>
    </row>
    <row r="60" spans="1:11" ht="15" thickBot="1" x14ac:dyDescent="0.35">
      <c r="A60" s="120" t="s">
        <v>38</v>
      </c>
      <c r="B60" s="6">
        <f t="shared" si="17"/>
        <v>21958.909999999996</v>
      </c>
      <c r="C60" s="8"/>
      <c r="D60" s="6"/>
      <c r="E60" s="6">
        <f>C60+B60-D60</f>
        <v>21958.909999999996</v>
      </c>
      <c r="F60" s="15"/>
      <c r="G60" s="17">
        <f>F60/B60</f>
        <v>0</v>
      </c>
      <c r="H60" s="57">
        <f>F60+E60</f>
        <v>21958.909999999996</v>
      </c>
      <c r="J60" s="56"/>
      <c r="K60" s="56"/>
    </row>
    <row r="61" spans="1:11" ht="43.8" thickBot="1" x14ac:dyDescent="0.35">
      <c r="A61" s="120" t="s">
        <v>40</v>
      </c>
      <c r="B61" s="6">
        <f t="shared" si="17"/>
        <v>-1.1013412404281553E-13</v>
      </c>
      <c r="C61" s="8"/>
      <c r="D61" s="6"/>
      <c r="E61" s="6">
        <f>C61+B61-D61</f>
        <v>-1.1013412404281553E-13</v>
      </c>
      <c r="F61" s="15"/>
      <c r="G61" s="17">
        <f>F61/B61</f>
        <v>0</v>
      </c>
      <c r="H61" s="57">
        <f>F61+E61</f>
        <v>-1.1013412404281553E-13</v>
      </c>
      <c r="J61" s="56"/>
      <c r="K61" s="56"/>
    </row>
    <row r="62" spans="1:11" ht="29.4" thickBot="1" x14ac:dyDescent="0.35">
      <c r="A62" s="120" t="s">
        <v>39</v>
      </c>
      <c r="B62" s="92">
        <f t="shared" si="17"/>
        <v>251124.69</v>
      </c>
      <c r="C62" s="8"/>
      <c r="D62" s="92"/>
      <c r="E62" s="92">
        <f>C62+B62-D62</f>
        <v>251124.69</v>
      </c>
      <c r="F62" s="132"/>
      <c r="G62" s="133">
        <f>F62/B62</f>
        <v>0</v>
      </c>
      <c r="H62" s="134">
        <f>F62+E62</f>
        <v>251124.69</v>
      </c>
      <c r="J62" s="56"/>
      <c r="K62" s="56"/>
    </row>
    <row r="63" spans="1:11" ht="15" thickBot="1" x14ac:dyDescent="0.35">
      <c r="A63" s="120"/>
      <c r="B63" s="3"/>
      <c r="C63" s="3"/>
      <c r="D63" s="3"/>
      <c r="E63" s="3"/>
      <c r="F63" s="129"/>
      <c r="G63" s="130"/>
      <c r="H63" s="58"/>
      <c r="J63" s="56"/>
      <c r="K63" s="56"/>
    </row>
    <row r="64" spans="1:11" ht="15" thickBot="1" x14ac:dyDescent="0.35">
      <c r="A64" s="120"/>
      <c r="B64" s="3"/>
      <c r="C64" s="3"/>
      <c r="D64" s="3"/>
      <c r="E64" s="3"/>
      <c r="F64" s="129"/>
      <c r="G64" s="130"/>
      <c r="H64" s="58"/>
      <c r="J64" s="56"/>
      <c r="K64" s="56"/>
    </row>
    <row r="65" spans="1:11" ht="15" thickBot="1" x14ac:dyDescent="0.35">
      <c r="A65" s="9" t="s">
        <v>6</v>
      </c>
      <c r="B65" s="99">
        <f>SUM(B52:B64)</f>
        <v>9467633.6100000013</v>
      </c>
      <c r="C65" s="126"/>
      <c r="D65" s="126"/>
      <c r="E65" s="126"/>
      <c r="F65" s="99">
        <f>SUM(F52:F61)</f>
        <v>0</v>
      </c>
      <c r="G65" s="127"/>
      <c r="H65" s="128">
        <f>SUM(H52:H64)</f>
        <v>9467633.6100000013</v>
      </c>
    </row>
    <row r="66" spans="1:11" ht="15" thickBot="1" x14ac:dyDescent="0.35"/>
    <row r="67" spans="1:11" ht="29.4" thickBot="1" x14ac:dyDescent="0.35">
      <c r="A67" s="30">
        <v>46143</v>
      </c>
      <c r="B67" s="31" t="s">
        <v>4</v>
      </c>
      <c r="C67" s="31" t="s">
        <v>0</v>
      </c>
      <c r="D67" s="31" t="s">
        <v>5</v>
      </c>
      <c r="E67" s="32" t="s">
        <v>8</v>
      </c>
      <c r="F67" s="33" t="s">
        <v>10</v>
      </c>
      <c r="G67" s="34" t="s">
        <v>9</v>
      </c>
      <c r="H67" s="32" t="s">
        <v>44</v>
      </c>
    </row>
    <row r="68" spans="1:11" ht="15" thickBot="1" x14ac:dyDescent="0.35">
      <c r="A68" s="35" t="s">
        <v>17</v>
      </c>
      <c r="B68" s="6">
        <f>H52</f>
        <v>1425.5500000000002</v>
      </c>
      <c r="C68" s="6"/>
      <c r="D68" s="6"/>
      <c r="E68" s="6">
        <f t="shared" ref="E68:E71" si="21">C68+B68-D68</f>
        <v>1425.5500000000002</v>
      </c>
      <c r="F68" s="15"/>
      <c r="G68" s="17">
        <f>F68/B68</f>
        <v>0</v>
      </c>
      <c r="H68" s="57">
        <f t="shared" ref="H68:H74" si="22">F68+E68</f>
        <v>1425.5500000000002</v>
      </c>
      <c r="I68" s="56"/>
      <c r="K68" s="56"/>
    </row>
    <row r="69" spans="1:11" ht="15" thickBot="1" x14ac:dyDescent="0.35">
      <c r="A69" s="35" t="s">
        <v>11</v>
      </c>
      <c r="B69" s="6">
        <f t="shared" ref="B69:B78" si="23">H53</f>
        <v>697368.42</v>
      </c>
      <c r="C69" s="3"/>
      <c r="D69" s="6"/>
      <c r="E69" s="6">
        <f t="shared" si="21"/>
        <v>697368.42</v>
      </c>
      <c r="F69" s="15"/>
      <c r="G69" s="17">
        <f t="shared" ref="G69:G71" si="24">F69/B69</f>
        <v>0</v>
      </c>
      <c r="H69" s="57">
        <f t="shared" si="22"/>
        <v>697368.42</v>
      </c>
      <c r="I69" s="56"/>
      <c r="K69" s="56"/>
    </row>
    <row r="70" spans="1:11" ht="15" thickBot="1" x14ac:dyDescent="0.35">
      <c r="A70" s="35" t="s">
        <v>12</v>
      </c>
      <c r="B70" s="6">
        <f t="shared" si="23"/>
        <v>389907.98</v>
      </c>
      <c r="C70" s="3"/>
      <c r="D70" s="6"/>
      <c r="E70" s="6">
        <f t="shared" si="21"/>
        <v>389907.98</v>
      </c>
      <c r="F70" s="15"/>
      <c r="G70" s="17">
        <f t="shared" si="24"/>
        <v>0</v>
      </c>
      <c r="H70" s="57">
        <f t="shared" si="22"/>
        <v>389907.98</v>
      </c>
      <c r="I70" s="56"/>
      <c r="K70" s="56"/>
    </row>
    <row r="71" spans="1:11" ht="15" thickBot="1" x14ac:dyDescent="0.35">
      <c r="A71" s="35" t="s">
        <v>13</v>
      </c>
      <c r="B71" s="6">
        <f t="shared" si="23"/>
        <v>6446.26</v>
      </c>
      <c r="C71" s="3"/>
      <c r="D71" s="6"/>
      <c r="E71" s="6">
        <f t="shared" si="21"/>
        <v>6446.26</v>
      </c>
      <c r="F71" s="15"/>
      <c r="G71" s="17">
        <f t="shared" si="24"/>
        <v>0</v>
      </c>
      <c r="H71" s="57">
        <f t="shared" si="22"/>
        <v>6446.26</v>
      </c>
      <c r="I71" s="56"/>
      <c r="K71" s="56"/>
    </row>
    <row r="72" spans="1:11" ht="43.8" thickBot="1" x14ac:dyDescent="0.35">
      <c r="A72" s="35" t="s">
        <v>16</v>
      </c>
      <c r="B72" s="6">
        <f t="shared" si="23"/>
        <v>205490.17</v>
      </c>
      <c r="C72" s="3"/>
      <c r="D72" s="6"/>
      <c r="E72" s="6">
        <f>C72+B72-D72</f>
        <v>205490.17</v>
      </c>
      <c r="F72" s="15"/>
      <c r="G72" s="17">
        <f>F72/B72</f>
        <v>0</v>
      </c>
      <c r="H72" s="57">
        <f t="shared" si="22"/>
        <v>205490.17</v>
      </c>
      <c r="I72" s="56"/>
      <c r="K72" s="56"/>
    </row>
    <row r="73" spans="1:11" ht="15" thickBot="1" x14ac:dyDescent="0.35">
      <c r="A73" s="35" t="s">
        <v>32</v>
      </c>
      <c r="B73" s="6">
        <f t="shared" si="23"/>
        <v>1970064.7</v>
      </c>
      <c r="C73" s="3"/>
      <c r="D73" s="6"/>
      <c r="E73" s="6">
        <f t="shared" ref="E73:E74" si="25">C73+B73-D73</f>
        <v>1970064.7</v>
      </c>
      <c r="F73" s="15"/>
      <c r="G73" s="17">
        <f>F73/B73</f>
        <v>0</v>
      </c>
      <c r="H73" s="57">
        <f t="shared" si="22"/>
        <v>1970064.7</v>
      </c>
      <c r="I73" s="56"/>
      <c r="K73" s="56"/>
    </row>
    <row r="74" spans="1:11" ht="15" thickBot="1" x14ac:dyDescent="0.35">
      <c r="A74" s="35" t="s">
        <v>33</v>
      </c>
      <c r="B74" s="6">
        <f t="shared" si="23"/>
        <v>5285853.3600000003</v>
      </c>
      <c r="C74" s="3"/>
      <c r="D74" s="6"/>
      <c r="E74" s="6">
        <f t="shared" si="25"/>
        <v>5285853.3600000003</v>
      </c>
      <c r="F74" s="15"/>
      <c r="G74" s="17">
        <f t="shared" ref="G74" si="26">F74/B74</f>
        <v>0</v>
      </c>
      <c r="H74" s="57">
        <f t="shared" si="22"/>
        <v>5285853.3600000003</v>
      </c>
      <c r="I74" s="56"/>
      <c r="K74" s="56"/>
    </row>
    <row r="75" spans="1:11" ht="15" thickBot="1" x14ac:dyDescent="0.35">
      <c r="A75" s="35" t="s">
        <v>34</v>
      </c>
      <c r="B75" s="6">
        <f t="shared" si="23"/>
        <v>637993.57000000007</v>
      </c>
      <c r="C75" s="8"/>
      <c r="D75" s="6"/>
      <c r="E75" s="6">
        <f>C75+B75-D75</f>
        <v>637993.57000000007</v>
      </c>
      <c r="F75" s="15"/>
      <c r="G75" s="17">
        <f>F75/B75</f>
        <v>0</v>
      </c>
      <c r="H75" s="57">
        <f>F75+E75</f>
        <v>637993.57000000007</v>
      </c>
      <c r="I75" s="56"/>
      <c r="K75" s="56"/>
    </row>
    <row r="76" spans="1:11" ht="15" thickBot="1" x14ac:dyDescent="0.35">
      <c r="A76" s="120" t="s">
        <v>38</v>
      </c>
      <c r="B76" s="6">
        <f t="shared" si="23"/>
        <v>21958.909999999996</v>
      </c>
      <c r="C76" s="8"/>
      <c r="D76" s="6"/>
      <c r="E76" s="6">
        <f>C76+B76-D76</f>
        <v>21958.909999999996</v>
      </c>
      <c r="F76" s="15"/>
      <c r="G76" s="17">
        <f>F76/B76</f>
        <v>0</v>
      </c>
      <c r="H76" s="57">
        <f>F76+E76</f>
        <v>21958.909999999996</v>
      </c>
      <c r="I76" s="56"/>
      <c r="J76" s="56"/>
      <c r="K76" s="56"/>
    </row>
    <row r="77" spans="1:11" ht="43.8" thickBot="1" x14ac:dyDescent="0.35">
      <c r="A77" s="120" t="s">
        <v>40</v>
      </c>
      <c r="B77" s="6">
        <f t="shared" si="23"/>
        <v>-1.1013412404281553E-13</v>
      </c>
      <c r="C77" s="8"/>
      <c r="D77" s="6"/>
      <c r="E77" s="6">
        <f>C77+B77-D77</f>
        <v>-1.1013412404281553E-13</v>
      </c>
      <c r="F77" s="15"/>
      <c r="G77" s="17">
        <f>F77/B77</f>
        <v>0</v>
      </c>
      <c r="H77" s="57">
        <f>F77+E77</f>
        <v>-1.1013412404281553E-13</v>
      </c>
      <c r="I77" s="56"/>
    </row>
    <row r="78" spans="1:11" ht="29.4" thickBot="1" x14ac:dyDescent="0.35">
      <c r="A78" s="120" t="s">
        <v>39</v>
      </c>
      <c r="B78" s="92">
        <f t="shared" si="23"/>
        <v>251124.69</v>
      </c>
      <c r="C78" s="8"/>
      <c r="D78" s="92"/>
      <c r="E78" s="92">
        <f>C78+B78-D78</f>
        <v>251124.69</v>
      </c>
      <c r="F78" s="132"/>
      <c r="G78" s="133">
        <f>F78/B78</f>
        <v>0</v>
      </c>
      <c r="H78" s="134">
        <f>F78+E78</f>
        <v>251124.69</v>
      </c>
      <c r="I78" s="56"/>
    </row>
    <row r="79" spans="1:11" ht="15" thickBot="1" x14ac:dyDescent="0.35">
      <c r="A79" s="120"/>
      <c r="B79" s="3"/>
      <c r="C79" s="3"/>
      <c r="D79" s="3"/>
      <c r="E79" s="3"/>
      <c r="F79" s="129"/>
      <c r="G79" s="130"/>
      <c r="H79" s="58"/>
      <c r="I79" s="56"/>
    </row>
    <row r="80" spans="1:11" ht="15" thickBot="1" x14ac:dyDescent="0.35">
      <c r="A80" s="120"/>
      <c r="B80" s="3"/>
      <c r="C80" s="3"/>
      <c r="D80" s="3"/>
      <c r="E80" s="3"/>
      <c r="F80" s="129"/>
      <c r="G80" s="130"/>
      <c r="H80" s="58"/>
      <c r="I80" s="56"/>
    </row>
    <row r="81" spans="1:10" ht="15" thickBot="1" x14ac:dyDescent="0.35">
      <c r="A81" s="9" t="s">
        <v>6</v>
      </c>
      <c r="B81" s="36">
        <f>SUM(B68:B78)</f>
        <v>9467633.6100000013</v>
      </c>
      <c r="C81" s="10"/>
      <c r="D81" s="10"/>
      <c r="E81" s="10"/>
      <c r="F81" s="36">
        <f>SUM(F68:F78)</f>
        <v>0</v>
      </c>
      <c r="G81" s="18"/>
      <c r="H81" s="11">
        <f>SUM(H68:H78)</f>
        <v>9467633.6100000013</v>
      </c>
    </row>
    <row r="82" spans="1:10" ht="15" thickBot="1" x14ac:dyDescent="0.35"/>
    <row r="83" spans="1:10" ht="29.4" thickBot="1" x14ac:dyDescent="0.35">
      <c r="A83" s="30">
        <v>46174</v>
      </c>
      <c r="B83" s="31" t="s">
        <v>4</v>
      </c>
      <c r="C83" s="31" t="s">
        <v>0</v>
      </c>
      <c r="D83" s="31" t="s">
        <v>5</v>
      </c>
      <c r="E83" s="32" t="s">
        <v>8</v>
      </c>
      <c r="F83" s="33" t="s">
        <v>10</v>
      </c>
      <c r="G83" s="34" t="s">
        <v>9</v>
      </c>
      <c r="H83" s="32" t="s">
        <v>45</v>
      </c>
    </row>
    <row r="84" spans="1:10" ht="15" thickBot="1" x14ac:dyDescent="0.35">
      <c r="A84" s="35" t="s">
        <v>17</v>
      </c>
      <c r="B84" s="6">
        <f>H68</f>
        <v>1425.5500000000002</v>
      </c>
      <c r="C84" s="6"/>
      <c r="D84" s="6"/>
      <c r="E84" s="6">
        <f t="shared" ref="E84:E87" si="27">C84+B84-D84</f>
        <v>1425.5500000000002</v>
      </c>
      <c r="F84" s="15"/>
      <c r="G84" s="17">
        <f>F84/B84</f>
        <v>0</v>
      </c>
      <c r="H84" s="57">
        <f t="shared" ref="H84:H90" si="28">F84+E84</f>
        <v>1425.5500000000002</v>
      </c>
      <c r="I84" s="56"/>
      <c r="J84" s="56"/>
    </row>
    <row r="85" spans="1:10" ht="15" thickBot="1" x14ac:dyDescent="0.35">
      <c r="A85" s="35" t="s">
        <v>11</v>
      </c>
      <c r="B85" s="6">
        <f t="shared" ref="B85:B94" si="29">H69</f>
        <v>697368.42</v>
      </c>
      <c r="C85" s="3"/>
      <c r="D85" s="6"/>
      <c r="E85" s="6">
        <f t="shared" si="27"/>
        <v>697368.42</v>
      </c>
      <c r="F85" s="15"/>
      <c r="G85" s="17">
        <f t="shared" ref="G85:G87" si="30">F85/B85</f>
        <v>0</v>
      </c>
      <c r="H85" s="57">
        <f t="shared" si="28"/>
        <v>697368.42</v>
      </c>
      <c r="I85" s="56"/>
      <c r="J85" s="56"/>
    </row>
    <row r="86" spans="1:10" ht="15" thickBot="1" x14ac:dyDescent="0.35">
      <c r="A86" s="35" t="s">
        <v>12</v>
      </c>
      <c r="B86" s="6">
        <f t="shared" si="29"/>
        <v>389907.98</v>
      </c>
      <c r="C86" s="3"/>
      <c r="D86" s="6"/>
      <c r="E86" s="6">
        <f t="shared" si="27"/>
        <v>389907.98</v>
      </c>
      <c r="F86" s="15"/>
      <c r="G86" s="17">
        <f t="shared" si="30"/>
        <v>0</v>
      </c>
      <c r="H86" s="57">
        <f t="shared" si="28"/>
        <v>389907.98</v>
      </c>
      <c r="I86" s="56"/>
      <c r="J86" s="56"/>
    </row>
    <row r="87" spans="1:10" ht="15" thickBot="1" x14ac:dyDescent="0.35">
      <c r="A87" s="35" t="s">
        <v>13</v>
      </c>
      <c r="B87" s="6">
        <f t="shared" si="29"/>
        <v>6446.26</v>
      </c>
      <c r="C87" s="3"/>
      <c r="D87" s="6"/>
      <c r="E87" s="6">
        <f t="shared" si="27"/>
        <v>6446.26</v>
      </c>
      <c r="F87" s="15"/>
      <c r="G87" s="17">
        <f t="shared" si="30"/>
        <v>0</v>
      </c>
      <c r="H87" s="57">
        <f t="shared" si="28"/>
        <v>6446.26</v>
      </c>
      <c r="I87" s="56"/>
      <c r="J87" s="56"/>
    </row>
    <row r="88" spans="1:10" ht="43.8" thickBot="1" x14ac:dyDescent="0.35">
      <c r="A88" s="35" t="s">
        <v>16</v>
      </c>
      <c r="B88" s="6">
        <f t="shared" si="29"/>
        <v>205490.17</v>
      </c>
      <c r="C88" s="3"/>
      <c r="D88" s="6"/>
      <c r="E88" s="6">
        <f>C88+B88-D88</f>
        <v>205490.17</v>
      </c>
      <c r="F88" s="15"/>
      <c r="G88" s="17">
        <f>F88/B88</f>
        <v>0</v>
      </c>
      <c r="H88" s="57">
        <f t="shared" si="28"/>
        <v>205490.17</v>
      </c>
      <c r="I88" s="56"/>
      <c r="J88" s="56"/>
    </row>
    <row r="89" spans="1:10" ht="15" thickBot="1" x14ac:dyDescent="0.35">
      <c r="A89" s="35" t="s">
        <v>32</v>
      </c>
      <c r="B89" s="6">
        <f t="shared" si="29"/>
        <v>1970064.7</v>
      </c>
      <c r="C89" s="3"/>
      <c r="D89" s="6"/>
      <c r="E89" s="6">
        <f t="shared" ref="E89:E90" si="31">C89+B89-D89</f>
        <v>1970064.7</v>
      </c>
      <c r="F89" s="15"/>
      <c r="G89" s="17">
        <f>F89/B89</f>
        <v>0</v>
      </c>
      <c r="H89" s="57">
        <f t="shared" si="28"/>
        <v>1970064.7</v>
      </c>
      <c r="I89" s="56"/>
      <c r="J89" s="56"/>
    </row>
    <row r="90" spans="1:10" ht="15" thickBot="1" x14ac:dyDescent="0.35">
      <c r="A90" s="35" t="s">
        <v>33</v>
      </c>
      <c r="B90" s="6">
        <f t="shared" si="29"/>
        <v>5285853.3600000003</v>
      </c>
      <c r="C90" s="3"/>
      <c r="D90" s="6"/>
      <c r="E90" s="6">
        <f t="shared" si="31"/>
        <v>5285853.3600000003</v>
      </c>
      <c r="F90" s="15"/>
      <c r="G90" s="17">
        <f t="shared" ref="G90" si="32">F90/B90</f>
        <v>0</v>
      </c>
      <c r="H90" s="57">
        <f t="shared" si="28"/>
        <v>5285853.3600000003</v>
      </c>
      <c r="I90" s="56"/>
      <c r="J90" s="123"/>
    </row>
    <row r="91" spans="1:10" ht="15" thickBot="1" x14ac:dyDescent="0.35">
      <c r="A91" s="35" t="s">
        <v>34</v>
      </c>
      <c r="B91" s="6">
        <f t="shared" si="29"/>
        <v>637993.57000000007</v>
      </c>
      <c r="C91" s="8"/>
      <c r="D91" s="6"/>
      <c r="E91" s="6">
        <f>C91+B91-D91</f>
        <v>637993.57000000007</v>
      </c>
      <c r="F91" s="15"/>
      <c r="G91" s="17">
        <f>F91/B91</f>
        <v>0</v>
      </c>
      <c r="H91" s="57">
        <f>F91+E91</f>
        <v>637993.57000000007</v>
      </c>
      <c r="I91" s="56"/>
      <c r="J91" s="56"/>
    </row>
    <row r="92" spans="1:10" ht="15" thickBot="1" x14ac:dyDescent="0.35">
      <c r="A92" s="120" t="s">
        <v>38</v>
      </c>
      <c r="B92" s="6">
        <f t="shared" si="29"/>
        <v>21958.909999999996</v>
      </c>
      <c r="C92" s="8"/>
      <c r="D92" s="6"/>
      <c r="E92" s="6">
        <f>C92+B92-D92</f>
        <v>21958.909999999996</v>
      </c>
      <c r="F92" s="15"/>
      <c r="G92" s="17">
        <f>F92/B92</f>
        <v>0</v>
      </c>
      <c r="H92" s="57">
        <f>F92+E92</f>
        <v>21958.909999999996</v>
      </c>
      <c r="I92" s="56"/>
      <c r="J92" s="56"/>
    </row>
    <row r="93" spans="1:10" ht="43.8" thickBot="1" x14ac:dyDescent="0.35">
      <c r="A93" s="120" t="s">
        <v>40</v>
      </c>
      <c r="B93" s="6">
        <f t="shared" si="29"/>
        <v>-1.1013412404281553E-13</v>
      </c>
      <c r="C93" s="8"/>
      <c r="D93" s="6"/>
      <c r="E93" s="6">
        <f>C93+B93-D93</f>
        <v>-1.1013412404281553E-13</v>
      </c>
      <c r="F93" s="15"/>
      <c r="G93" s="17">
        <f>F93/B93</f>
        <v>0</v>
      </c>
      <c r="H93" s="57">
        <f>F93+E93</f>
        <v>-1.1013412404281553E-13</v>
      </c>
      <c r="I93" s="56"/>
      <c r="J93" s="56"/>
    </row>
    <row r="94" spans="1:10" ht="29.4" thickBot="1" x14ac:dyDescent="0.35">
      <c r="A94" s="120" t="s">
        <v>39</v>
      </c>
      <c r="B94" s="92">
        <f t="shared" si="29"/>
        <v>251124.69</v>
      </c>
      <c r="C94" s="8"/>
      <c r="D94" s="92"/>
      <c r="E94" s="92">
        <f>C94+B94-D94</f>
        <v>251124.69</v>
      </c>
      <c r="F94" s="132"/>
      <c r="G94" s="133">
        <f>F94/B94</f>
        <v>0</v>
      </c>
      <c r="H94" s="134">
        <f>F94+E94</f>
        <v>251124.69</v>
      </c>
      <c r="I94" s="56"/>
      <c r="J94" s="56"/>
    </row>
    <row r="95" spans="1:10" ht="15" thickBot="1" x14ac:dyDescent="0.35">
      <c r="A95" s="120"/>
      <c r="B95" s="3"/>
      <c r="C95" s="3"/>
      <c r="D95" s="3"/>
      <c r="E95" s="3"/>
      <c r="F95" s="129"/>
      <c r="G95" s="130"/>
      <c r="H95" s="58"/>
      <c r="I95" s="56"/>
      <c r="J95" s="56"/>
    </row>
    <row r="96" spans="1:10" ht="15" thickBot="1" x14ac:dyDescent="0.35">
      <c r="A96" s="120"/>
      <c r="B96" s="3"/>
      <c r="C96" s="3"/>
      <c r="D96" s="3"/>
      <c r="E96" s="3"/>
      <c r="F96" s="129"/>
      <c r="G96" s="130"/>
      <c r="H96" s="58"/>
      <c r="I96" s="56"/>
      <c r="J96" s="56"/>
    </row>
    <row r="97" spans="1:10" ht="15" thickBot="1" x14ac:dyDescent="0.35">
      <c r="A97" s="9" t="s">
        <v>6</v>
      </c>
      <c r="B97" s="36">
        <f>SUM(B84:B94)</f>
        <v>9467633.6100000013</v>
      </c>
      <c r="C97" s="10"/>
      <c r="D97" s="10"/>
      <c r="E97" s="10"/>
      <c r="F97" s="36">
        <f>SUM(F84:F94)</f>
        <v>0</v>
      </c>
      <c r="G97" s="18"/>
      <c r="H97" s="11">
        <f>SUM(H84:H94)</f>
        <v>9467633.6100000013</v>
      </c>
    </row>
    <row r="98" spans="1:10" ht="15" thickBot="1" x14ac:dyDescent="0.35"/>
    <row r="99" spans="1:10" ht="29.4" thickBot="1" x14ac:dyDescent="0.35">
      <c r="A99" s="30">
        <v>46204</v>
      </c>
      <c r="B99" s="31" t="s">
        <v>4</v>
      </c>
      <c r="C99" s="31" t="s">
        <v>0</v>
      </c>
      <c r="D99" s="31" t="s">
        <v>5</v>
      </c>
      <c r="E99" s="32" t="s">
        <v>8</v>
      </c>
      <c r="F99" s="33" t="s">
        <v>10</v>
      </c>
      <c r="G99" s="34" t="s">
        <v>9</v>
      </c>
      <c r="H99" s="32" t="s">
        <v>46</v>
      </c>
    </row>
    <row r="100" spans="1:10" ht="15" thickBot="1" x14ac:dyDescent="0.35">
      <c r="A100" s="35" t="s">
        <v>17</v>
      </c>
      <c r="B100" s="6">
        <f>H84</f>
        <v>1425.5500000000002</v>
      </c>
      <c r="C100" s="6"/>
      <c r="D100" s="6"/>
      <c r="E100" s="6">
        <f t="shared" ref="E100:E103" si="33">C100+B100-D100</f>
        <v>1425.5500000000002</v>
      </c>
      <c r="F100" s="15"/>
      <c r="G100" s="17">
        <f>F100/B100</f>
        <v>0</v>
      </c>
      <c r="H100" s="57">
        <f t="shared" ref="H100:H106" si="34">F100+E100</f>
        <v>1425.5500000000002</v>
      </c>
      <c r="J100" s="56"/>
    </row>
    <row r="101" spans="1:10" ht="15" thickBot="1" x14ac:dyDescent="0.35">
      <c r="A101" s="35" t="s">
        <v>11</v>
      </c>
      <c r="B101" s="6">
        <f t="shared" ref="B101:B110" si="35">H85</f>
        <v>697368.42</v>
      </c>
      <c r="C101" s="3"/>
      <c r="D101" s="6"/>
      <c r="E101" s="6">
        <f t="shared" si="33"/>
        <v>697368.42</v>
      </c>
      <c r="F101" s="15"/>
      <c r="G101" s="17">
        <f t="shared" ref="G101:G103" si="36">F101/B101</f>
        <v>0</v>
      </c>
      <c r="H101" s="57">
        <f t="shared" si="34"/>
        <v>697368.42</v>
      </c>
      <c r="J101" s="56"/>
    </row>
    <row r="102" spans="1:10" ht="15" thickBot="1" x14ac:dyDescent="0.35">
      <c r="A102" s="35" t="s">
        <v>12</v>
      </c>
      <c r="B102" s="6">
        <f t="shared" si="35"/>
        <v>389907.98</v>
      </c>
      <c r="C102" s="3"/>
      <c r="D102" s="6"/>
      <c r="E102" s="6">
        <f t="shared" si="33"/>
        <v>389907.98</v>
      </c>
      <c r="F102" s="15"/>
      <c r="G102" s="17">
        <f t="shared" si="36"/>
        <v>0</v>
      </c>
      <c r="H102" s="57">
        <f t="shared" si="34"/>
        <v>389907.98</v>
      </c>
      <c r="J102" s="56"/>
    </row>
    <row r="103" spans="1:10" ht="15" thickBot="1" x14ac:dyDescent="0.35">
      <c r="A103" s="35" t="s">
        <v>13</v>
      </c>
      <c r="B103" s="6">
        <f t="shared" si="35"/>
        <v>6446.26</v>
      </c>
      <c r="C103" s="3"/>
      <c r="D103" s="6"/>
      <c r="E103" s="6">
        <f t="shared" si="33"/>
        <v>6446.26</v>
      </c>
      <c r="F103" s="15"/>
      <c r="G103" s="17">
        <f t="shared" si="36"/>
        <v>0</v>
      </c>
      <c r="H103" s="57">
        <f t="shared" si="34"/>
        <v>6446.26</v>
      </c>
      <c r="J103" s="56"/>
    </row>
    <row r="104" spans="1:10" ht="43.8" thickBot="1" x14ac:dyDescent="0.35">
      <c r="A104" s="35" t="s">
        <v>16</v>
      </c>
      <c r="B104" s="6">
        <f t="shared" si="35"/>
        <v>205490.17</v>
      </c>
      <c r="C104" s="3"/>
      <c r="D104" s="6"/>
      <c r="E104" s="6">
        <f>C104+B104-D104</f>
        <v>205490.17</v>
      </c>
      <c r="F104" s="15"/>
      <c r="G104" s="17">
        <f>F104/B104</f>
        <v>0</v>
      </c>
      <c r="H104" s="57">
        <f t="shared" si="34"/>
        <v>205490.17</v>
      </c>
      <c r="J104" s="56"/>
    </row>
    <row r="105" spans="1:10" ht="15" thickBot="1" x14ac:dyDescent="0.35">
      <c r="A105" s="35" t="s">
        <v>32</v>
      </c>
      <c r="B105" s="6">
        <f t="shared" si="35"/>
        <v>1970064.7</v>
      </c>
      <c r="C105" s="3"/>
      <c r="D105" s="6"/>
      <c r="E105" s="6">
        <f t="shared" ref="E105:E106" si="37">C105+B105-D105</f>
        <v>1970064.7</v>
      </c>
      <c r="F105" s="15"/>
      <c r="G105" s="17">
        <f>F105/B105</f>
        <v>0</v>
      </c>
      <c r="H105" s="57">
        <f t="shared" si="34"/>
        <v>1970064.7</v>
      </c>
      <c r="J105" s="56"/>
    </row>
    <row r="106" spans="1:10" ht="15" thickBot="1" x14ac:dyDescent="0.35">
      <c r="A106" s="35" t="s">
        <v>33</v>
      </c>
      <c r="B106" s="6">
        <f t="shared" si="35"/>
        <v>5285853.3600000003</v>
      </c>
      <c r="C106" s="3"/>
      <c r="D106" s="6"/>
      <c r="E106" s="6">
        <f t="shared" si="37"/>
        <v>5285853.3600000003</v>
      </c>
      <c r="F106" s="15"/>
      <c r="G106" s="17">
        <f t="shared" ref="G106" si="38">F106/B106</f>
        <v>0</v>
      </c>
      <c r="H106" s="57">
        <f t="shared" si="34"/>
        <v>5285853.3600000003</v>
      </c>
      <c r="J106" s="56"/>
    </row>
    <row r="107" spans="1:10" ht="15" thickBot="1" x14ac:dyDescent="0.35">
      <c r="A107" s="35" t="s">
        <v>34</v>
      </c>
      <c r="B107" s="6">
        <f t="shared" si="35"/>
        <v>637993.57000000007</v>
      </c>
      <c r="C107" s="8"/>
      <c r="D107" s="6"/>
      <c r="E107" s="6">
        <f>C107+B107-D107</f>
        <v>637993.57000000007</v>
      </c>
      <c r="F107" s="15"/>
      <c r="G107" s="17">
        <f>F107/B107</f>
        <v>0</v>
      </c>
      <c r="H107" s="57">
        <f>F107+E107</f>
        <v>637993.57000000007</v>
      </c>
      <c r="J107" s="56"/>
    </row>
    <row r="108" spans="1:10" ht="15" thickBot="1" x14ac:dyDescent="0.35">
      <c r="A108" s="120" t="s">
        <v>38</v>
      </c>
      <c r="B108" s="6">
        <f t="shared" si="35"/>
        <v>21958.909999999996</v>
      </c>
      <c r="C108" s="8"/>
      <c r="D108" s="6"/>
      <c r="E108" s="6">
        <f>C108+B108-D108</f>
        <v>21958.909999999996</v>
      </c>
      <c r="F108" s="15"/>
      <c r="G108" s="17">
        <f>F108/B108</f>
        <v>0</v>
      </c>
      <c r="H108" s="57">
        <f>F108+E108</f>
        <v>21958.909999999996</v>
      </c>
      <c r="J108" s="56"/>
    </row>
    <row r="109" spans="1:10" ht="43.8" thickBot="1" x14ac:dyDescent="0.35">
      <c r="A109" s="120" t="s">
        <v>40</v>
      </c>
      <c r="B109" s="6">
        <f t="shared" si="35"/>
        <v>-1.1013412404281553E-13</v>
      </c>
      <c r="C109" s="8"/>
      <c r="D109" s="6"/>
      <c r="E109" s="6">
        <f>C109+B109-D109</f>
        <v>-1.1013412404281553E-13</v>
      </c>
      <c r="F109" s="15"/>
      <c r="G109" s="17">
        <f>F109/B109</f>
        <v>0</v>
      </c>
      <c r="H109" s="57">
        <f>F109+E109</f>
        <v>-1.1013412404281553E-13</v>
      </c>
      <c r="J109" s="56"/>
    </row>
    <row r="110" spans="1:10" ht="29.4" thickBot="1" x14ac:dyDescent="0.35">
      <c r="A110" s="120" t="s">
        <v>39</v>
      </c>
      <c r="B110" s="92">
        <f t="shared" si="35"/>
        <v>251124.69</v>
      </c>
      <c r="C110" s="8"/>
      <c r="D110" s="92"/>
      <c r="E110" s="92">
        <f>C110+B110-D110</f>
        <v>251124.69</v>
      </c>
      <c r="F110" s="132"/>
      <c r="G110" s="133">
        <f>F110/B110</f>
        <v>0</v>
      </c>
      <c r="H110" s="134">
        <f>F110+E110</f>
        <v>251124.69</v>
      </c>
      <c r="J110" s="56"/>
    </row>
    <row r="111" spans="1:10" ht="15" thickBot="1" x14ac:dyDescent="0.35">
      <c r="A111" s="120"/>
      <c r="B111" s="3"/>
      <c r="C111" s="3"/>
      <c r="D111" s="3"/>
      <c r="E111" s="3"/>
      <c r="F111" s="129"/>
      <c r="G111" s="130"/>
      <c r="H111" s="58"/>
      <c r="J111" s="56"/>
    </row>
    <row r="112" spans="1:10" ht="15" thickBot="1" x14ac:dyDescent="0.35">
      <c r="A112" s="120"/>
      <c r="B112" s="3"/>
      <c r="C112" s="3"/>
      <c r="D112" s="3"/>
      <c r="E112" s="3"/>
      <c r="F112" s="129"/>
      <c r="G112" s="130"/>
      <c r="H112" s="58"/>
      <c r="J112" s="56"/>
    </row>
    <row r="113" spans="1:10" ht="15" thickBot="1" x14ac:dyDescent="0.35">
      <c r="A113" s="9" t="s">
        <v>6</v>
      </c>
      <c r="B113" s="36">
        <f>SUM(B100:B110)</f>
        <v>9467633.6100000013</v>
      </c>
      <c r="C113" s="10"/>
      <c r="D113" s="10"/>
      <c r="E113" s="10"/>
      <c r="F113" s="36">
        <f>SUM(F100:F110)</f>
        <v>0</v>
      </c>
      <c r="G113" s="18"/>
      <c r="H113" s="11">
        <f>SUM(H100:H110)</f>
        <v>9467633.6100000013</v>
      </c>
    </row>
    <row r="114" spans="1:10" ht="15" thickBot="1" x14ac:dyDescent="0.35"/>
    <row r="115" spans="1:10" ht="29.4" thickBot="1" x14ac:dyDescent="0.35">
      <c r="A115" s="30">
        <v>46235</v>
      </c>
      <c r="B115" s="31" t="s">
        <v>4</v>
      </c>
      <c r="C115" s="31" t="s">
        <v>0</v>
      </c>
      <c r="D115" s="31" t="s">
        <v>5</v>
      </c>
      <c r="E115" s="32" t="s">
        <v>8</v>
      </c>
      <c r="F115" s="33" t="s">
        <v>10</v>
      </c>
      <c r="G115" s="34" t="s">
        <v>9</v>
      </c>
      <c r="H115" s="32" t="s">
        <v>47</v>
      </c>
    </row>
    <row r="116" spans="1:10" ht="15" thickBot="1" x14ac:dyDescent="0.35">
      <c r="A116" s="35" t="s">
        <v>17</v>
      </c>
      <c r="B116" s="6">
        <f>H100</f>
        <v>1425.5500000000002</v>
      </c>
      <c r="C116" s="6"/>
      <c r="D116" s="6"/>
      <c r="E116" s="6">
        <f t="shared" ref="E116:E119" si="39">C116+B116-D116</f>
        <v>1425.5500000000002</v>
      </c>
      <c r="F116" s="15"/>
      <c r="G116" s="17">
        <f>F116/B116</f>
        <v>0</v>
      </c>
      <c r="H116" s="57">
        <f t="shared" ref="H116:H122" si="40">F116+E116</f>
        <v>1425.5500000000002</v>
      </c>
      <c r="I116" s="56"/>
      <c r="J116" s="56"/>
    </row>
    <row r="117" spans="1:10" ht="15" thickBot="1" x14ac:dyDescent="0.35">
      <c r="A117" s="35" t="s">
        <v>11</v>
      </c>
      <c r="B117" s="6">
        <f t="shared" ref="B117:B126" si="41">H101</f>
        <v>697368.42</v>
      </c>
      <c r="C117" s="3"/>
      <c r="D117" s="6"/>
      <c r="E117" s="6">
        <f t="shared" si="39"/>
        <v>697368.42</v>
      </c>
      <c r="F117" s="15"/>
      <c r="G117" s="17">
        <f t="shared" ref="G117:G119" si="42">F117/B117</f>
        <v>0</v>
      </c>
      <c r="H117" s="57">
        <f t="shared" si="40"/>
        <v>697368.42</v>
      </c>
      <c r="I117" s="56"/>
      <c r="J117" s="56"/>
    </row>
    <row r="118" spans="1:10" ht="15" thickBot="1" x14ac:dyDescent="0.35">
      <c r="A118" s="35" t="s">
        <v>12</v>
      </c>
      <c r="B118" s="6">
        <f t="shared" si="41"/>
        <v>389907.98</v>
      </c>
      <c r="C118" s="3"/>
      <c r="D118" s="6"/>
      <c r="E118" s="6">
        <f t="shared" si="39"/>
        <v>389907.98</v>
      </c>
      <c r="F118" s="15"/>
      <c r="G118" s="17">
        <f t="shared" si="42"/>
        <v>0</v>
      </c>
      <c r="H118" s="57">
        <f t="shared" si="40"/>
        <v>389907.98</v>
      </c>
      <c r="I118" s="56"/>
      <c r="J118" s="56"/>
    </row>
    <row r="119" spans="1:10" ht="15" thickBot="1" x14ac:dyDescent="0.35">
      <c r="A119" s="35" t="s">
        <v>13</v>
      </c>
      <c r="B119" s="6">
        <f t="shared" si="41"/>
        <v>6446.26</v>
      </c>
      <c r="C119" s="3"/>
      <c r="D119" s="6"/>
      <c r="E119" s="6">
        <f t="shared" si="39"/>
        <v>6446.26</v>
      </c>
      <c r="F119" s="15"/>
      <c r="G119" s="17">
        <f t="shared" si="42"/>
        <v>0</v>
      </c>
      <c r="H119" s="57">
        <f t="shared" si="40"/>
        <v>6446.26</v>
      </c>
      <c r="I119" s="56"/>
      <c r="J119" s="56"/>
    </row>
    <row r="120" spans="1:10" ht="43.8" thickBot="1" x14ac:dyDescent="0.35">
      <c r="A120" s="35" t="s">
        <v>16</v>
      </c>
      <c r="B120" s="6">
        <f t="shared" si="41"/>
        <v>205490.17</v>
      </c>
      <c r="C120" s="3"/>
      <c r="D120" s="6"/>
      <c r="E120" s="6">
        <f>C120+B120-D120</f>
        <v>205490.17</v>
      </c>
      <c r="F120" s="15"/>
      <c r="G120" s="17">
        <f>F120/B120</f>
        <v>0</v>
      </c>
      <c r="H120" s="57">
        <f t="shared" si="40"/>
        <v>205490.17</v>
      </c>
      <c r="I120" s="56"/>
      <c r="J120" s="56"/>
    </row>
    <row r="121" spans="1:10" ht="15" thickBot="1" x14ac:dyDescent="0.35">
      <c r="A121" s="35" t="s">
        <v>32</v>
      </c>
      <c r="B121" s="6">
        <f t="shared" si="41"/>
        <v>1970064.7</v>
      </c>
      <c r="C121" s="3"/>
      <c r="D121" s="6"/>
      <c r="E121" s="6">
        <f t="shared" ref="E121:E122" si="43">C121+B121-D121</f>
        <v>1970064.7</v>
      </c>
      <c r="F121" s="15"/>
      <c r="G121" s="17">
        <f>F121/B121</f>
        <v>0</v>
      </c>
      <c r="H121" s="57">
        <f t="shared" si="40"/>
        <v>1970064.7</v>
      </c>
      <c r="I121" s="56"/>
      <c r="J121" s="56"/>
    </row>
    <row r="122" spans="1:10" ht="15" thickBot="1" x14ac:dyDescent="0.35">
      <c r="A122" s="35" t="s">
        <v>33</v>
      </c>
      <c r="B122" s="6">
        <f t="shared" si="41"/>
        <v>5285853.3600000003</v>
      </c>
      <c r="C122" s="3"/>
      <c r="D122" s="6"/>
      <c r="E122" s="6">
        <f t="shared" si="43"/>
        <v>5285853.3600000003</v>
      </c>
      <c r="F122" s="15"/>
      <c r="G122" s="17">
        <f t="shared" ref="G122" si="44">F122/B122</f>
        <v>0</v>
      </c>
      <c r="H122" s="57">
        <f t="shared" si="40"/>
        <v>5285853.3600000003</v>
      </c>
      <c r="I122" s="56"/>
      <c r="J122" s="56"/>
    </row>
    <row r="123" spans="1:10" ht="15" thickBot="1" x14ac:dyDescent="0.35">
      <c r="A123" s="35" t="s">
        <v>34</v>
      </c>
      <c r="B123" s="6">
        <f t="shared" si="41"/>
        <v>637993.57000000007</v>
      </c>
      <c r="C123" s="8"/>
      <c r="D123" s="6"/>
      <c r="E123" s="6">
        <f>C123+B123-D123</f>
        <v>637993.57000000007</v>
      </c>
      <c r="F123" s="15"/>
      <c r="G123" s="17">
        <f>F123/B123</f>
        <v>0</v>
      </c>
      <c r="H123" s="57">
        <f>F123+E123</f>
        <v>637993.57000000007</v>
      </c>
      <c r="I123" s="56"/>
      <c r="J123" s="56"/>
    </row>
    <row r="124" spans="1:10" ht="15" thickBot="1" x14ac:dyDescent="0.35">
      <c r="A124" s="120" t="s">
        <v>38</v>
      </c>
      <c r="B124" s="6">
        <f t="shared" si="41"/>
        <v>21958.909999999996</v>
      </c>
      <c r="C124" s="8"/>
      <c r="D124" s="6"/>
      <c r="E124" s="6">
        <f>C124+B124-D124</f>
        <v>21958.909999999996</v>
      </c>
      <c r="F124" s="15"/>
      <c r="G124" s="17">
        <f>F124/B124</f>
        <v>0</v>
      </c>
      <c r="H124" s="57">
        <f>F124+E124</f>
        <v>21958.909999999996</v>
      </c>
      <c r="I124" s="56"/>
      <c r="J124" s="56"/>
    </row>
    <row r="125" spans="1:10" ht="43.8" thickBot="1" x14ac:dyDescent="0.35">
      <c r="A125" s="120" t="s">
        <v>40</v>
      </c>
      <c r="B125" s="6">
        <f t="shared" si="41"/>
        <v>-1.1013412404281553E-13</v>
      </c>
      <c r="C125" s="8"/>
      <c r="D125" s="6"/>
      <c r="E125" s="6">
        <f>C125+B125-D125</f>
        <v>-1.1013412404281553E-13</v>
      </c>
      <c r="F125" s="15"/>
      <c r="G125" s="17">
        <f>F125/B125</f>
        <v>0</v>
      </c>
      <c r="H125" s="57">
        <f>F125+E125</f>
        <v>-1.1013412404281553E-13</v>
      </c>
      <c r="I125" s="56"/>
      <c r="J125" s="56"/>
    </row>
    <row r="126" spans="1:10" ht="29.4" thickBot="1" x14ac:dyDescent="0.35">
      <c r="A126" s="120" t="s">
        <v>39</v>
      </c>
      <c r="B126" s="92">
        <f t="shared" si="41"/>
        <v>251124.69</v>
      </c>
      <c r="C126" s="8"/>
      <c r="D126" s="92"/>
      <c r="E126" s="92">
        <f>C126+B126-D126</f>
        <v>251124.69</v>
      </c>
      <c r="F126" s="132"/>
      <c r="G126" s="133">
        <f>F126/B126</f>
        <v>0</v>
      </c>
      <c r="H126" s="134">
        <f>F126+E126</f>
        <v>251124.69</v>
      </c>
      <c r="I126" s="56"/>
      <c r="J126" s="56"/>
    </row>
    <row r="127" spans="1:10" ht="15" thickBot="1" x14ac:dyDescent="0.35">
      <c r="A127" s="120"/>
      <c r="B127" s="3"/>
      <c r="C127" s="3"/>
      <c r="D127" s="3"/>
      <c r="E127" s="3"/>
      <c r="F127" s="129"/>
      <c r="G127" s="130"/>
      <c r="H127" s="58"/>
      <c r="I127" s="56"/>
      <c r="J127" s="56"/>
    </row>
    <row r="128" spans="1:10" ht="15" thickBot="1" x14ac:dyDescent="0.35">
      <c r="A128" s="120"/>
      <c r="B128" s="3"/>
      <c r="C128" s="3"/>
      <c r="D128" s="3"/>
      <c r="E128" s="3"/>
      <c r="F128" s="129"/>
      <c r="G128" s="130"/>
      <c r="H128" s="58"/>
      <c r="I128" s="56"/>
      <c r="J128" s="56"/>
    </row>
    <row r="129" spans="1:11" ht="15" thickBot="1" x14ac:dyDescent="0.35">
      <c r="A129" s="9" t="s">
        <v>6</v>
      </c>
      <c r="B129" s="36">
        <f>SUM(B116:B126)</f>
        <v>9467633.6100000013</v>
      </c>
      <c r="C129" s="10"/>
      <c r="D129" s="10"/>
      <c r="E129" s="10"/>
      <c r="F129" s="36">
        <f>SUM(F116:F126)</f>
        <v>0</v>
      </c>
      <c r="G129" s="18"/>
      <c r="H129" s="11">
        <f>SUM(H116:H126)</f>
        <v>9467633.6100000013</v>
      </c>
    </row>
    <row r="130" spans="1:11" ht="15" thickBot="1" x14ac:dyDescent="0.35"/>
    <row r="131" spans="1:11" ht="29.4" thickBot="1" x14ac:dyDescent="0.35">
      <c r="A131" s="30">
        <v>46266</v>
      </c>
      <c r="B131" s="31" t="s">
        <v>4</v>
      </c>
      <c r="C131" s="31" t="s">
        <v>0</v>
      </c>
      <c r="D131" s="31" t="s">
        <v>5</v>
      </c>
      <c r="E131" s="32" t="s">
        <v>8</v>
      </c>
      <c r="F131" s="33" t="s">
        <v>10</v>
      </c>
      <c r="G131" s="34" t="s">
        <v>9</v>
      </c>
      <c r="H131" s="32" t="s">
        <v>48</v>
      </c>
    </row>
    <row r="132" spans="1:11" ht="15" thickBot="1" x14ac:dyDescent="0.35">
      <c r="A132" s="35" t="s">
        <v>17</v>
      </c>
      <c r="B132" s="6">
        <f>H116</f>
        <v>1425.5500000000002</v>
      </c>
      <c r="C132" s="6"/>
      <c r="D132" s="6"/>
      <c r="E132" s="6">
        <f t="shared" ref="E132:E135" si="45">C132+B132-D132</f>
        <v>1425.5500000000002</v>
      </c>
      <c r="F132" s="15"/>
      <c r="G132" s="17">
        <f>F132/B132</f>
        <v>0</v>
      </c>
      <c r="H132" s="57">
        <f t="shared" ref="H132:H138" si="46">F132+E132</f>
        <v>1425.5500000000002</v>
      </c>
      <c r="J132" s="56"/>
    </row>
    <row r="133" spans="1:11" ht="15" thickBot="1" x14ac:dyDescent="0.35">
      <c r="A133" s="35" t="s">
        <v>11</v>
      </c>
      <c r="B133" s="6">
        <f t="shared" ref="B133:B142" si="47">H117</f>
        <v>697368.42</v>
      </c>
      <c r="C133" s="3"/>
      <c r="D133" s="6"/>
      <c r="E133" s="6">
        <f t="shared" si="45"/>
        <v>697368.42</v>
      </c>
      <c r="F133" s="15"/>
      <c r="G133" s="17">
        <f t="shared" ref="G133:G135" si="48">F133/B133</f>
        <v>0</v>
      </c>
      <c r="H133" s="57">
        <f t="shared" si="46"/>
        <v>697368.42</v>
      </c>
      <c r="I133" s="56"/>
      <c r="J133" s="56"/>
    </row>
    <row r="134" spans="1:11" ht="15" thickBot="1" x14ac:dyDescent="0.35">
      <c r="A134" s="35" t="s">
        <v>12</v>
      </c>
      <c r="B134" s="6">
        <f t="shared" si="47"/>
        <v>389907.98</v>
      </c>
      <c r="C134" s="3"/>
      <c r="D134" s="6"/>
      <c r="E134" s="6">
        <f t="shared" si="45"/>
        <v>389907.98</v>
      </c>
      <c r="F134" s="15"/>
      <c r="G134" s="17">
        <f t="shared" si="48"/>
        <v>0</v>
      </c>
      <c r="H134" s="57">
        <f t="shared" si="46"/>
        <v>389907.98</v>
      </c>
      <c r="J134" s="56"/>
    </row>
    <row r="135" spans="1:11" ht="15" thickBot="1" x14ac:dyDescent="0.35">
      <c r="A135" s="35" t="s">
        <v>13</v>
      </c>
      <c r="B135" s="6">
        <f t="shared" si="47"/>
        <v>6446.26</v>
      </c>
      <c r="C135" s="3"/>
      <c r="D135" s="6"/>
      <c r="E135" s="6">
        <f t="shared" si="45"/>
        <v>6446.26</v>
      </c>
      <c r="F135" s="15"/>
      <c r="G135" s="17">
        <f t="shared" si="48"/>
        <v>0</v>
      </c>
      <c r="H135" s="57">
        <f t="shared" si="46"/>
        <v>6446.26</v>
      </c>
      <c r="J135" s="56"/>
    </row>
    <row r="136" spans="1:11" ht="43.8" thickBot="1" x14ac:dyDescent="0.35">
      <c r="A136" s="35" t="s">
        <v>16</v>
      </c>
      <c r="B136" s="6">
        <f t="shared" si="47"/>
        <v>205490.17</v>
      </c>
      <c r="C136" s="3"/>
      <c r="D136" s="6"/>
      <c r="E136" s="6">
        <f>C136+B136-D136</f>
        <v>205490.17</v>
      </c>
      <c r="F136" s="15"/>
      <c r="G136" s="17">
        <f>F136/B136</f>
        <v>0</v>
      </c>
      <c r="H136" s="57">
        <f t="shared" si="46"/>
        <v>205490.17</v>
      </c>
      <c r="J136" s="56"/>
    </row>
    <row r="137" spans="1:11" ht="15" thickBot="1" x14ac:dyDescent="0.35">
      <c r="A137" s="35" t="s">
        <v>32</v>
      </c>
      <c r="B137" s="6">
        <f t="shared" si="47"/>
        <v>1970064.7</v>
      </c>
      <c r="C137" s="3"/>
      <c r="D137" s="6"/>
      <c r="E137" s="6">
        <f t="shared" ref="E137:E138" si="49">C137+B137-D137</f>
        <v>1970064.7</v>
      </c>
      <c r="F137" s="15"/>
      <c r="G137" s="17">
        <f>F137/B137</f>
        <v>0</v>
      </c>
      <c r="H137" s="57">
        <f t="shared" si="46"/>
        <v>1970064.7</v>
      </c>
      <c r="J137" s="56"/>
    </row>
    <row r="138" spans="1:11" ht="15" thickBot="1" x14ac:dyDescent="0.35">
      <c r="A138" s="35" t="s">
        <v>33</v>
      </c>
      <c r="B138" s="6">
        <f t="shared" si="47"/>
        <v>5285853.3600000003</v>
      </c>
      <c r="C138" s="3"/>
      <c r="D138" s="6"/>
      <c r="E138" s="6">
        <f t="shared" si="49"/>
        <v>5285853.3600000003</v>
      </c>
      <c r="F138" s="15"/>
      <c r="G138" s="17">
        <f t="shared" ref="G138" si="50">F138/B138</f>
        <v>0</v>
      </c>
      <c r="H138" s="57">
        <f t="shared" si="46"/>
        <v>5285853.3600000003</v>
      </c>
      <c r="J138" s="56"/>
    </row>
    <row r="139" spans="1:11" ht="15" thickBot="1" x14ac:dyDescent="0.35">
      <c r="A139" s="35" t="s">
        <v>34</v>
      </c>
      <c r="B139" s="6">
        <f t="shared" si="47"/>
        <v>637993.57000000007</v>
      </c>
      <c r="C139" s="8"/>
      <c r="D139" s="6"/>
      <c r="E139" s="6">
        <f>C139+B139-D139</f>
        <v>637993.57000000007</v>
      </c>
      <c r="F139" s="15"/>
      <c r="G139" s="17">
        <f>F139/B139</f>
        <v>0</v>
      </c>
      <c r="H139" s="57">
        <f>F139+E139</f>
        <v>637993.57000000007</v>
      </c>
      <c r="J139" s="56"/>
      <c r="K139" s="56"/>
    </row>
    <row r="140" spans="1:11" ht="15" thickBot="1" x14ac:dyDescent="0.35">
      <c r="A140" s="120" t="s">
        <v>38</v>
      </c>
      <c r="B140" s="6">
        <f t="shared" si="47"/>
        <v>21958.909999999996</v>
      </c>
      <c r="C140" s="8"/>
      <c r="D140" s="6"/>
      <c r="E140" s="6">
        <f>C140+B140-D140</f>
        <v>21958.909999999996</v>
      </c>
      <c r="F140" s="15"/>
      <c r="G140" s="17">
        <f>F140/B140</f>
        <v>0</v>
      </c>
      <c r="H140" s="57">
        <f>F140+E140</f>
        <v>21958.909999999996</v>
      </c>
      <c r="J140" s="56"/>
    </row>
    <row r="141" spans="1:11" ht="43.8" thickBot="1" x14ac:dyDescent="0.35">
      <c r="A141" s="120" t="s">
        <v>40</v>
      </c>
      <c r="B141" s="6">
        <f t="shared" si="47"/>
        <v>-1.1013412404281553E-13</v>
      </c>
      <c r="C141" s="8"/>
      <c r="D141" s="6"/>
      <c r="E141" s="6">
        <f>C141+B141-D141</f>
        <v>-1.1013412404281553E-13</v>
      </c>
      <c r="F141" s="15"/>
      <c r="G141" s="17">
        <f>F141/B141</f>
        <v>0</v>
      </c>
      <c r="H141" s="57">
        <f>F141+E141</f>
        <v>-1.1013412404281553E-13</v>
      </c>
      <c r="I141" s="56"/>
      <c r="J141" s="56"/>
    </row>
    <row r="142" spans="1:11" ht="29.4" thickBot="1" x14ac:dyDescent="0.35">
      <c r="A142" s="120" t="s">
        <v>39</v>
      </c>
      <c r="B142" s="92">
        <f t="shared" si="47"/>
        <v>251124.69</v>
      </c>
      <c r="C142" s="8"/>
      <c r="D142" s="92"/>
      <c r="E142" s="92">
        <f>C142+B142-D142</f>
        <v>251124.69</v>
      </c>
      <c r="F142" s="132"/>
      <c r="G142" s="133">
        <f>F142/B142</f>
        <v>0</v>
      </c>
      <c r="H142" s="134">
        <f>F142+E142</f>
        <v>251124.69</v>
      </c>
      <c r="I142" s="56"/>
      <c r="J142" s="56"/>
    </row>
    <row r="143" spans="1:11" ht="15" thickBot="1" x14ac:dyDescent="0.35">
      <c r="A143" s="120"/>
      <c r="B143" s="3"/>
      <c r="C143" s="3"/>
      <c r="D143" s="3"/>
      <c r="E143" s="3"/>
      <c r="F143" s="129"/>
      <c r="G143" s="130"/>
      <c r="H143" s="58"/>
      <c r="I143" s="56"/>
      <c r="J143" s="56"/>
    </row>
    <row r="144" spans="1:11" ht="15" thickBot="1" x14ac:dyDescent="0.35">
      <c r="A144" s="120"/>
      <c r="B144" s="3"/>
      <c r="C144" s="3"/>
      <c r="D144" s="3"/>
      <c r="E144" s="3"/>
      <c r="F144" s="129"/>
      <c r="G144" s="130"/>
      <c r="H144" s="58"/>
      <c r="I144" s="56"/>
      <c r="J144" s="56"/>
    </row>
    <row r="145" spans="1:9" ht="15" thickBot="1" x14ac:dyDescent="0.35">
      <c r="A145" s="9" t="s">
        <v>6</v>
      </c>
      <c r="B145" s="99">
        <f>SUM(B132:B143)</f>
        <v>9467633.6100000013</v>
      </c>
      <c r="C145" s="126"/>
      <c r="D145" s="126"/>
      <c r="E145" s="126"/>
      <c r="F145" s="99">
        <f>SUM(F132:F143)</f>
        <v>0</v>
      </c>
      <c r="G145" s="127"/>
      <c r="H145" s="128">
        <f>SUM(H132:H143)</f>
        <v>9467633.6100000013</v>
      </c>
    </row>
    <row r="146" spans="1:9" ht="15" thickBot="1" x14ac:dyDescent="0.35"/>
    <row r="147" spans="1:9" ht="29.4" thickBot="1" x14ac:dyDescent="0.35">
      <c r="A147" s="30">
        <v>46296</v>
      </c>
      <c r="B147" s="31" t="s">
        <v>4</v>
      </c>
      <c r="C147" s="31" t="s">
        <v>0</v>
      </c>
      <c r="D147" s="31" t="s">
        <v>5</v>
      </c>
      <c r="E147" s="32" t="s">
        <v>8</v>
      </c>
      <c r="F147" s="33" t="s">
        <v>10</v>
      </c>
      <c r="G147" s="34" t="s">
        <v>9</v>
      </c>
      <c r="H147" s="32" t="s">
        <v>49</v>
      </c>
    </row>
    <row r="148" spans="1:9" ht="15" thickBot="1" x14ac:dyDescent="0.35">
      <c r="A148" s="35" t="s">
        <v>17</v>
      </c>
      <c r="B148" s="6">
        <f>H132</f>
        <v>1425.5500000000002</v>
      </c>
      <c r="C148" s="6"/>
      <c r="D148" s="6"/>
      <c r="E148" s="6">
        <f t="shared" ref="E148:E151" si="51">C148+B148-D148</f>
        <v>1425.5500000000002</v>
      </c>
      <c r="F148" s="15"/>
      <c r="G148" s="17">
        <f>F148/B148</f>
        <v>0</v>
      </c>
      <c r="H148" s="57">
        <f t="shared" ref="H148:H154" si="52">F148+E148</f>
        <v>1425.5500000000002</v>
      </c>
      <c r="I148" s="56"/>
    </row>
    <row r="149" spans="1:9" ht="15" thickBot="1" x14ac:dyDescent="0.35">
      <c r="A149" s="35" t="s">
        <v>11</v>
      </c>
      <c r="B149" s="6">
        <f t="shared" ref="B149:B158" si="53">H133</f>
        <v>697368.42</v>
      </c>
      <c r="C149" s="3"/>
      <c r="D149" s="6"/>
      <c r="E149" s="6">
        <f t="shared" si="51"/>
        <v>697368.42</v>
      </c>
      <c r="F149" s="15"/>
      <c r="G149" s="17">
        <f t="shared" ref="G149:G151" si="54">F149/B149</f>
        <v>0</v>
      </c>
      <c r="H149" s="57">
        <f t="shared" si="52"/>
        <v>697368.42</v>
      </c>
      <c r="I149" s="56"/>
    </row>
    <row r="150" spans="1:9" ht="15" thickBot="1" x14ac:dyDescent="0.35">
      <c r="A150" s="35" t="s">
        <v>12</v>
      </c>
      <c r="B150" s="6">
        <f t="shared" si="53"/>
        <v>389907.98</v>
      </c>
      <c r="C150" s="3"/>
      <c r="D150" s="6"/>
      <c r="E150" s="6">
        <f t="shared" si="51"/>
        <v>389907.98</v>
      </c>
      <c r="F150" s="15"/>
      <c r="G150" s="17">
        <f t="shared" si="54"/>
        <v>0</v>
      </c>
      <c r="H150" s="57">
        <f t="shared" si="52"/>
        <v>389907.98</v>
      </c>
      <c r="I150" s="56"/>
    </row>
    <row r="151" spans="1:9" ht="15" thickBot="1" x14ac:dyDescent="0.35">
      <c r="A151" s="35" t="s">
        <v>13</v>
      </c>
      <c r="B151" s="6">
        <f t="shared" si="53"/>
        <v>6446.26</v>
      </c>
      <c r="C151" s="3"/>
      <c r="D151" s="6"/>
      <c r="E151" s="6">
        <f t="shared" si="51"/>
        <v>6446.26</v>
      </c>
      <c r="F151" s="15"/>
      <c r="G151" s="17">
        <f t="shared" si="54"/>
        <v>0</v>
      </c>
      <c r="H151" s="57">
        <f t="shared" si="52"/>
        <v>6446.26</v>
      </c>
      <c r="I151" s="56"/>
    </row>
    <row r="152" spans="1:9" ht="43.8" thickBot="1" x14ac:dyDescent="0.35">
      <c r="A152" s="35" t="s">
        <v>16</v>
      </c>
      <c r="B152" s="6">
        <f t="shared" si="53"/>
        <v>205490.17</v>
      </c>
      <c r="C152" s="3"/>
      <c r="D152" s="6"/>
      <c r="E152" s="6">
        <f>C152+B152-D152</f>
        <v>205490.17</v>
      </c>
      <c r="F152" s="15"/>
      <c r="G152" s="17">
        <f>F152/B152</f>
        <v>0</v>
      </c>
      <c r="H152" s="57">
        <f t="shared" si="52"/>
        <v>205490.17</v>
      </c>
      <c r="I152" s="56"/>
    </row>
    <row r="153" spans="1:9" ht="15" thickBot="1" x14ac:dyDescent="0.35">
      <c r="A153" s="35" t="s">
        <v>32</v>
      </c>
      <c r="B153" s="6">
        <f t="shared" si="53"/>
        <v>1970064.7</v>
      </c>
      <c r="C153" s="3"/>
      <c r="D153" s="6"/>
      <c r="E153" s="6">
        <f t="shared" ref="E153:E154" si="55">C153+B153-D153</f>
        <v>1970064.7</v>
      </c>
      <c r="F153" s="15"/>
      <c r="G153" s="17">
        <f>F153/B153</f>
        <v>0</v>
      </c>
      <c r="H153" s="57">
        <f t="shared" si="52"/>
        <v>1970064.7</v>
      </c>
      <c r="I153" s="56"/>
    </row>
    <row r="154" spans="1:9" ht="15" thickBot="1" x14ac:dyDescent="0.35">
      <c r="A154" s="35" t="s">
        <v>33</v>
      </c>
      <c r="B154" s="6">
        <f t="shared" si="53"/>
        <v>5285853.3600000003</v>
      </c>
      <c r="C154" s="3"/>
      <c r="D154" s="6"/>
      <c r="E154" s="6">
        <f t="shared" si="55"/>
        <v>5285853.3600000003</v>
      </c>
      <c r="F154" s="15"/>
      <c r="G154" s="17">
        <f t="shared" ref="G154" si="56">F154/B154</f>
        <v>0</v>
      </c>
      <c r="H154" s="57">
        <f t="shared" si="52"/>
        <v>5285853.3600000003</v>
      </c>
      <c r="I154" s="56"/>
    </row>
    <row r="155" spans="1:9" ht="15" thickBot="1" x14ac:dyDescent="0.35">
      <c r="A155" s="35" t="s">
        <v>34</v>
      </c>
      <c r="B155" s="6">
        <f t="shared" si="53"/>
        <v>637993.57000000007</v>
      </c>
      <c r="C155" s="8"/>
      <c r="D155" s="6"/>
      <c r="E155" s="6">
        <f>C155+B155-D155</f>
        <v>637993.57000000007</v>
      </c>
      <c r="F155" s="15"/>
      <c r="G155" s="17">
        <f>F155/B155</f>
        <v>0</v>
      </c>
      <c r="H155" s="57">
        <f>F155+E155</f>
        <v>637993.57000000007</v>
      </c>
      <c r="I155" s="56"/>
    </row>
    <row r="156" spans="1:9" ht="15" thickBot="1" x14ac:dyDescent="0.35">
      <c r="A156" s="120" t="s">
        <v>38</v>
      </c>
      <c r="B156" s="6">
        <f t="shared" si="53"/>
        <v>21958.909999999996</v>
      </c>
      <c r="C156" s="8"/>
      <c r="D156" s="6"/>
      <c r="E156" s="6">
        <f>C156+B156-D156</f>
        <v>21958.909999999996</v>
      </c>
      <c r="F156" s="15"/>
      <c r="G156" s="17">
        <f>F156/B156</f>
        <v>0</v>
      </c>
      <c r="H156" s="57">
        <f>F156+E156</f>
        <v>21958.909999999996</v>
      </c>
      <c r="I156" s="56"/>
    </row>
    <row r="157" spans="1:9" ht="43.8" thickBot="1" x14ac:dyDescent="0.35">
      <c r="A157" s="120" t="s">
        <v>40</v>
      </c>
      <c r="B157" s="6">
        <f t="shared" si="53"/>
        <v>-1.1013412404281553E-13</v>
      </c>
      <c r="C157" s="8"/>
      <c r="D157" s="6"/>
      <c r="E157" s="6">
        <f>C157+B157-D157</f>
        <v>-1.1013412404281553E-13</v>
      </c>
      <c r="F157" s="15"/>
      <c r="G157" s="17">
        <f>F157/B157</f>
        <v>0</v>
      </c>
      <c r="H157" s="57">
        <f>F157+E157</f>
        <v>-1.1013412404281553E-13</v>
      </c>
      <c r="I157" s="56"/>
    </row>
    <row r="158" spans="1:9" ht="29.4" thickBot="1" x14ac:dyDescent="0.35">
      <c r="A158" s="120" t="s">
        <v>39</v>
      </c>
      <c r="B158" s="92">
        <f t="shared" si="53"/>
        <v>251124.69</v>
      </c>
      <c r="C158" s="8"/>
      <c r="D158" s="92"/>
      <c r="E158" s="92">
        <f>C158+B158-D158</f>
        <v>251124.69</v>
      </c>
      <c r="F158" s="132"/>
      <c r="G158" s="133">
        <f>F158/B158</f>
        <v>0</v>
      </c>
      <c r="H158" s="134">
        <f>F158+E158</f>
        <v>251124.69</v>
      </c>
      <c r="I158" s="56"/>
    </row>
    <row r="159" spans="1:9" ht="15" thickBot="1" x14ac:dyDescent="0.35">
      <c r="A159" s="120"/>
      <c r="B159" s="3"/>
      <c r="C159" s="3"/>
      <c r="D159" s="3"/>
      <c r="E159" s="3"/>
      <c r="F159" s="129"/>
      <c r="G159" s="130"/>
      <c r="H159" s="58"/>
      <c r="I159" s="56"/>
    </row>
    <row r="160" spans="1:9" ht="15" thickBot="1" x14ac:dyDescent="0.35">
      <c r="A160" s="120"/>
      <c r="B160" s="3"/>
      <c r="C160" s="3"/>
      <c r="D160" s="3"/>
      <c r="E160" s="3"/>
      <c r="F160" s="129"/>
      <c r="G160" s="130"/>
      <c r="H160" s="58"/>
      <c r="I160" s="56"/>
    </row>
    <row r="161" spans="1:10" ht="15" thickBot="1" x14ac:dyDescent="0.35">
      <c r="A161" s="9" t="s">
        <v>6</v>
      </c>
      <c r="B161" s="99">
        <f>SUM(B148:B158)</f>
        <v>9467633.6100000013</v>
      </c>
      <c r="C161" s="126"/>
      <c r="D161" s="126"/>
      <c r="E161" s="126"/>
      <c r="F161" s="99">
        <f>SUM(F148:F160)</f>
        <v>0</v>
      </c>
      <c r="G161" s="127"/>
      <c r="H161" s="128">
        <f>SUM(H148:H160)</f>
        <v>9467633.6100000013</v>
      </c>
    </row>
    <row r="162" spans="1:10" ht="15" thickBot="1" x14ac:dyDescent="0.35"/>
    <row r="163" spans="1:10" ht="29.4" thickBot="1" x14ac:dyDescent="0.35">
      <c r="A163" s="30">
        <v>46327</v>
      </c>
      <c r="B163" s="31" t="s">
        <v>4</v>
      </c>
      <c r="C163" s="31" t="s">
        <v>0</v>
      </c>
      <c r="D163" s="31" t="s">
        <v>5</v>
      </c>
      <c r="E163" s="32" t="s">
        <v>8</v>
      </c>
      <c r="F163" s="33" t="s">
        <v>10</v>
      </c>
      <c r="G163" s="34" t="s">
        <v>9</v>
      </c>
      <c r="H163" s="32" t="s">
        <v>50</v>
      </c>
    </row>
    <row r="164" spans="1:10" ht="15" thickBot="1" x14ac:dyDescent="0.35">
      <c r="A164" s="35" t="s">
        <v>17</v>
      </c>
      <c r="B164" s="6">
        <f>H148</f>
        <v>1425.5500000000002</v>
      </c>
      <c r="C164" s="6"/>
      <c r="D164" s="6"/>
      <c r="E164" s="6">
        <f t="shared" ref="E164:E167" si="57">C164+B164-D164</f>
        <v>1425.5500000000002</v>
      </c>
      <c r="F164" s="15"/>
      <c r="G164" s="17">
        <f>F164/B164</f>
        <v>0</v>
      </c>
      <c r="H164" s="57">
        <f t="shared" ref="H164:H170" si="58">F164+E164</f>
        <v>1425.5500000000002</v>
      </c>
      <c r="I164" s="56"/>
      <c r="J164" s="56"/>
    </row>
    <row r="165" spans="1:10" ht="15" thickBot="1" x14ac:dyDescent="0.35">
      <c r="A165" s="35" t="s">
        <v>11</v>
      </c>
      <c r="B165" s="6">
        <f t="shared" ref="B165:B174" si="59">H149</f>
        <v>697368.42</v>
      </c>
      <c r="C165" s="3"/>
      <c r="D165" s="6"/>
      <c r="E165" s="6">
        <f t="shared" si="57"/>
        <v>697368.42</v>
      </c>
      <c r="F165" s="15"/>
      <c r="G165" s="17">
        <f t="shared" ref="G165:G167" si="60">F165/B165</f>
        <v>0</v>
      </c>
      <c r="H165" s="57">
        <f t="shared" si="58"/>
        <v>697368.42</v>
      </c>
      <c r="I165" s="56"/>
      <c r="J165" s="56"/>
    </row>
    <row r="166" spans="1:10" ht="15" thickBot="1" x14ac:dyDescent="0.35">
      <c r="A166" s="35" t="s">
        <v>12</v>
      </c>
      <c r="B166" s="6">
        <f t="shared" si="59"/>
        <v>389907.98</v>
      </c>
      <c r="C166" s="3"/>
      <c r="D166" s="6"/>
      <c r="E166" s="6">
        <f t="shared" si="57"/>
        <v>389907.98</v>
      </c>
      <c r="F166" s="15"/>
      <c r="G166" s="17">
        <f t="shared" si="60"/>
        <v>0</v>
      </c>
      <c r="H166" s="57">
        <f t="shared" si="58"/>
        <v>389907.98</v>
      </c>
      <c r="I166" s="56"/>
      <c r="J166" s="56"/>
    </row>
    <row r="167" spans="1:10" ht="15" thickBot="1" x14ac:dyDescent="0.35">
      <c r="A167" s="35" t="s">
        <v>13</v>
      </c>
      <c r="B167" s="6">
        <f t="shared" si="59"/>
        <v>6446.26</v>
      </c>
      <c r="C167" s="3"/>
      <c r="D167" s="6"/>
      <c r="E167" s="6">
        <f t="shared" si="57"/>
        <v>6446.26</v>
      </c>
      <c r="F167" s="15"/>
      <c r="G167" s="17">
        <f t="shared" si="60"/>
        <v>0</v>
      </c>
      <c r="H167" s="57">
        <f t="shared" si="58"/>
        <v>6446.26</v>
      </c>
      <c r="I167" s="56"/>
      <c r="J167" s="56"/>
    </row>
    <row r="168" spans="1:10" ht="43.8" thickBot="1" x14ac:dyDescent="0.35">
      <c r="A168" s="35" t="s">
        <v>16</v>
      </c>
      <c r="B168" s="6">
        <f t="shared" si="59"/>
        <v>205490.17</v>
      </c>
      <c r="C168" s="3"/>
      <c r="D168" s="6"/>
      <c r="E168" s="6">
        <f>C168+B168-D168</f>
        <v>205490.17</v>
      </c>
      <c r="F168" s="15"/>
      <c r="G168" s="17">
        <f>F168/B168</f>
        <v>0</v>
      </c>
      <c r="H168" s="57">
        <f t="shared" si="58"/>
        <v>205490.17</v>
      </c>
      <c r="I168" s="56"/>
      <c r="J168" s="56"/>
    </row>
    <row r="169" spans="1:10" ht="15" thickBot="1" x14ac:dyDescent="0.35">
      <c r="A169" s="35" t="s">
        <v>32</v>
      </c>
      <c r="B169" s="6">
        <f t="shared" si="59"/>
        <v>1970064.7</v>
      </c>
      <c r="C169" s="3"/>
      <c r="D169" s="6"/>
      <c r="E169" s="6">
        <f t="shared" ref="E169:E170" si="61">C169+B169-D169</f>
        <v>1970064.7</v>
      </c>
      <c r="F169" s="15"/>
      <c r="G169" s="17">
        <f>F169/B169</f>
        <v>0</v>
      </c>
      <c r="H169" s="57">
        <f t="shared" si="58"/>
        <v>1970064.7</v>
      </c>
      <c r="I169" s="56"/>
      <c r="J169" s="56"/>
    </row>
    <row r="170" spans="1:10" ht="15" thickBot="1" x14ac:dyDescent="0.35">
      <c r="A170" s="35" t="s">
        <v>33</v>
      </c>
      <c r="B170" s="6">
        <f t="shared" si="59"/>
        <v>5285853.3600000003</v>
      </c>
      <c r="C170" s="3"/>
      <c r="D170" s="6"/>
      <c r="E170" s="6">
        <f t="shared" si="61"/>
        <v>5285853.3600000003</v>
      </c>
      <c r="F170" s="15"/>
      <c r="G170" s="17">
        <f t="shared" ref="G170" si="62">F170/B170</f>
        <v>0</v>
      </c>
      <c r="H170" s="57">
        <f t="shared" si="58"/>
        <v>5285853.3600000003</v>
      </c>
      <c r="I170" s="56"/>
      <c r="J170" s="56"/>
    </row>
    <row r="171" spans="1:10" ht="15" thickBot="1" x14ac:dyDescent="0.35">
      <c r="A171" s="35" t="s">
        <v>34</v>
      </c>
      <c r="B171" s="6">
        <f t="shared" si="59"/>
        <v>637993.57000000007</v>
      </c>
      <c r="C171" s="8"/>
      <c r="D171" s="6"/>
      <c r="E171" s="6">
        <f>C171+B171-D171</f>
        <v>637993.57000000007</v>
      </c>
      <c r="F171" s="15"/>
      <c r="G171" s="17">
        <f>F171/B171</f>
        <v>0</v>
      </c>
      <c r="H171" s="57">
        <f>F171+E171</f>
        <v>637993.57000000007</v>
      </c>
      <c r="I171" s="56"/>
      <c r="J171" s="56"/>
    </row>
    <row r="172" spans="1:10" ht="15" thickBot="1" x14ac:dyDescent="0.35">
      <c r="A172" s="120" t="s">
        <v>38</v>
      </c>
      <c r="B172" s="6">
        <f t="shared" si="59"/>
        <v>21958.909999999996</v>
      </c>
      <c r="C172" s="8"/>
      <c r="D172" s="6"/>
      <c r="E172" s="6">
        <f>C172+B172-D172</f>
        <v>21958.909999999996</v>
      </c>
      <c r="F172" s="15"/>
      <c r="G172" s="17">
        <f>F172/B172</f>
        <v>0</v>
      </c>
      <c r="H172" s="57">
        <f>F172+E172</f>
        <v>21958.909999999996</v>
      </c>
      <c r="I172" s="56"/>
      <c r="J172" s="56"/>
    </row>
    <row r="173" spans="1:10" ht="43.8" thickBot="1" x14ac:dyDescent="0.35">
      <c r="A173" s="120" t="s">
        <v>40</v>
      </c>
      <c r="B173" s="6">
        <f t="shared" si="59"/>
        <v>-1.1013412404281553E-13</v>
      </c>
      <c r="C173" s="8"/>
      <c r="D173" s="6"/>
      <c r="E173" s="6">
        <f>C173+B173-D173</f>
        <v>-1.1013412404281553E-13</v>
      </c>
      <c r="F173" s="15"/>
      <c r="G173" s="17">
        <f>F173/B173</f>
        <v>0</v>
      </c>
      <c r="H173" s="57">
        <f>F173+E173</f>
        <v>-1.1013412404281553E-13</v>
      </c>
      <c r="I173" s="56"/>
      <c r="J173" s="56"/>
    </row>
    <row r="174" spans="1:10" ht="29.4" thickBot="1" x14ac:dyDescent="0.35">
      <c r="A174" s="120" t="s">
        <v>39</v>
      </c>
      <c r="B174" s="92">
        <f t="shared" si="59"/>
        <v>251124.69</v>
      </c>
      <c r="C174" s="8"/>
      <c r="D174" s="92"/>
      <c r="E174" s="92">
        <f>C174+B174-D174</f>
        <v>251124.69</v>
      </c>
      <c r="F174" s="132"/>
      <c r="G174" s="133">
        <f>F174/B174</f>
        <v>0</v>
      </c>
      <c r="H174" s="134">
        <f>F174+E174</f>
        <v>251124.69</v>
      </c>
      <c r="I174" s="56"/>
      <c r="J174" s="56"/>
    </row>
    <row r="175" spans="1:10" ht="15" thickBot="1" x14ac:dyDescent="0.35">
      <c r="A175" s="120"/>
      <c r="B175" s="3"/>
      <c r="C175" s="3"/>
      <c r="D175" s="3"/>
      <c r="E175" s="3"/>
      <c r="F175" s="129"/>
      <c r="G175" s="130"/>
      <c r="H175" s="58"/>
      <c r="I175" s="56"/>
      <c r="J175" s="56"/>
    </row>
    <row r="176" spans="1:10" ht="15" thickBot="1" x14ac:dyDescent="0.35">
      <c r="A176" s="120"/>
      <c r="B176" s="3"/>
      <c r="C176" s="3"/>
      <c r="D176" s="3"/>
      <c r="E176" s="3"/>
      <c r="F176" s="129"/>
      <c r="G176" s="130"/>
      <c r="H176" s="58"/>
      <c r="I176" s="56"/>
      <c r="J176" s="56"/>
    </row>
    <row r="177" spans="1:12" ht="15" thickBot="1" x14ac:dyDescent="0.35">
      <c r="A177" s="9" t="s">
        <v>6</v>
      </c>
      <c r="B177" s="99">
        <f>SUM(B164:B174)</f>
        <v>9467633.6100000013</v>
      </c>
      <c r="C177" s="126"/>
      <c r="D177" s="126"/>
      <c r="E177" s="126"/>
      <c r="F177" s="99">
        <f>SUM(F164:F176)</f>
        <v>0</v>
      </c>
      <c r="G177" s="127"/>
      <c r="H177" s="128">
        <f>SUM(H164:H176)</f>
        <v>9467633.6100000013</v>
      </c>
    </row>
    <row r="178" spans="1:12" ht="15" thickBot="1" x14ac:dyDescent="0.35"/>
    <row r="179" spans="1:12" ht="29.4" thickBot="1" x14ac:dyDescent="0.35">
      <c r="A179" s="30">
        <v>46357</v>
      </c>
      <c r="B179" s="31" t="s">
        <v>4</v>
      </c>
      <c r="C179" s="31" t="s">
        <v>0</v>
      </c>
      <c r="D179" s="31" t="s">
        <v>5</v>
      </c>
      <c r="E179" s="32" t="s">
        <v>8</v>
      </c>
      <c r="F179" s="33" t="s">
        <v>10</v>
      </c>
      <c r="G179" s="34" t="s">
        <v>9</v>
      </c>
      <c r="H179" s="32" t="s">
        <v>51</v>
      </c>
    </row>
    <row r="180" spans="1:12" ht="15" thickBot="1" x14ac:dyDescent="0.35">
      <c r="A180" s="35" t="s">
        <v>17</v>
      </c>
      <c r="B180" s="6">
        <f>H164</f>
        <v>1425.5500000000002</v>
      </c>
      <c r="C180" s="6"/>
      <c r="D180" s="6"/>
      <c r="E180" s="6">
        <f t="shared" ref="E180:E183" si="63">C180+B180-D180</f>
        <v>1425.5500000000002</v>
      </c>
      <c r="F180" s="15"/>
      <c r="G180" s="17">
        <f>F180/B180</f>
        <v>0</v>
      </c>
      <c r="H180" s="57">
        <f t="shared" ref="H180:H186" si="64">F180+E180</f>
        <v>1425.5500000000002</v>
      </c>
      <c r="I180" s="56"/>
      <c r="J180" s="56"/>
      <c r="L180" s="56"/>
    </row>
    <row r="181" spans="1:12" ht="15" thickBot="1" x14ac:dyDescent="0.35">
      <c r="A181" s="35" t="s">
        <v>11</v>
      </c>
      <c r="B181" s="6">
        <f t="shared" ref="B181:B190" si="65">H165</f>
        <v>697368.42</v>
      </c>
      <c r="C181" s="3"/>
      <c r="D181" s="6"/>
      <c r="E181" s="6">
        <f t="shared" si="63"/>
        <v>697368.42</v>
      </c>
      <c r="F181" s="15"/>
      <c r="G181" s="17">
        <f t="shared" ref="G181:G183" si="66">F181/B181</f>
        <v>0</v>
      </c>
      <c r="H181" s="57">
        <f t="shared" si="64"/>
        <v>697368.42</v>
      </c>
      <c r="I181" s="56"/>
      <c r="J181" s="56"/>
      <c r="L181" s="56"/>
    </row>
    <row r="182" spans="1:12" ht="15" thickBot="1" x14ac:dyDescent="0.35">
      <c r="A182" s="35" t="s">
        <v>12</v>
      </c>
      <c r="B182" s="6">
        <f t="shared" si="65"/>
        <v>389907.98</v>
      </c>
      <c r="C182" s="3"/>
      <c r="D182" s="6"/>
      <c r="E182" s="6">
        <f t="shared" si="63"/>
        <v>389907.98</v>
      </c>
      <c r="F182" s="15"/>
      <c r="G182" s="17">
        <f t="shared" si="66"/>
        <v>0</v>
      </c>
      <c r="H182" s="57">
        <f t="shared" si="64"/>
        <v>389907.98</v>
      </c>
      <c r="I182" s="56"/>
      <c r="J182" s="56"/>
      <c r="L182" s="56"/>
    </row>
    <row r="183" spans="1:12" ht="15" thickBot="1" x14ac:dyDescent="0.35">
      <c r="A183" s="35" t="s">
        <v>13</v>
      </c>
      <c r="B183" s="6">
        <f t="shared" si="65"/>
        <v>6446.26</v>
      </c>
      <c r="C183" s="3"/>
      <c r="D183" s="6"/>
      <c r="E183" s="6">
        <f t="shared" si="63"/>
        <v>6446.26</v>
      </c>
      <c r="F183" s="15"/>
      <c r="G183" s="17">
        <f t="shared" si="66"/>
        <v>0</v>
      </c>
      <c r="H183" s="57">
        <f t="shared" si="64"/>
        <v>6446.26</v>
      </c>
      <c r="I183" s="56"/>
      <c r="J183" s="56"/>
    </row>
    <row r="184" spans="1:12" ht="43.8" thickBot="1" x14ac:dyDescent="0.35">
      <c r="A184" s="35" t="s">
        <v>16</v>
      </c>
      <c r="B184" s="6">
        <f t="shared" si="65"/>
        <v>205490.17</v>
      </c>
      <c r="C184" s="3"/>
      <c r="D184" s="6"/>
      <c r="E184" s="6">
        <f>C184+B184-D184</f>
        <v>205490.17</v>
      </c>
      <c r="F184" s="15"/>
      <c r="G184" s="17">
        <f>F184/B184</f>
        <v>0</v>
      </c>
      <c r="H184" s="57">
        <f t="shared" si="64"/>
        <v>205490.17</v>
      </c>
      <c r="I184" s="56"/>
      <c r="J184" s="56"/>
    </row>
    <row r="185" spans="1:12" ht="15" thickBot="1" x14ac:dyDescent="0.35">
      <c r="A185" s="35" t="s">
        <v>32</v>
      </c>
      <c r="B185" s="6">
        <f t="shared" si="65"/>
        <v>1970064.7</v>
      </c>
      <c r="C185" s="3"/>
      <c r="D185" s="6"/>
      <c r="E185" s="6">
        <f t="shared" ref="E185:E186" si="67">C185+B185-D185</f>
        <v>1970064.7</v>
      </c>
      <c r="F185" s="15"/>
      <c r="G185" s="17">
        <f>F185/B185</f>
        <v>0</v>
      </c>
      <c r="H185" s="57">
        <f t="shared" si="64"/>
        <v>1970064.7</v>
      </c>
      <c r="I185" s="56"/>
      <c r="J185" s="56"/>
      <c r="K185" s="56"/>
    </row>
    <row r="186" spans="1:12" ht="15" thickBot="1" x14ac:dyDescent="0.35">
      <c r="A186" s="35" t="s">
        <v>33</v>
      </c>
      <c r="B186" s="6">
        <f t="shared" si="65"/>
        <v>5285853.3600000003</v>
      </c>
      <c r="C186" s="3"/>
      <c r="D186" s="6"/>
      <c r="E186" s="6">
        <f t="shared" si="67"/>
        <v>5285853.3600000003</v>
      </c>
      <c r="F186" s="15"/>
      <c r="G186" s="17">
        <f t="shared" ref="G186" si="68">F186/B186</f>
        <v>0</v>
      </c>
      <c r="H186" s="57">
        <f t="shared" si="64"/>
        <v>5285853.3600000003</v>
      </c>
      <c r="I186" s="56"/>
      <c r="J186" s="56"/>
      <c r="K186" s="56"/>
    </row>
    <row r="187" spans="1:12" ht="15" thickBot="1" x14ac:dyDescent="0.35">
      <c r="A187" s="35" t="s">
        <v>34</v>
      </c>
      <c r="B187" s="6">
        <f t="shared" si="65"/>
        <v>637993.57000000007</v>
      </c>
      <c r="C187" s="8"/>
      <c r="D187" s="6"/>
      <c r="E187" s="6">
        <f>C187+B187-D187</f>
        <v>637993.57000000007</v>
      </c>
      <c r="F187" s="15"/>
      <c r="G187" s="17">
        <f>F187/B187</f>
        <v>0</v>
      </c>
      <c r="H187" s="57">
        <f>F187+E187</f>
        <v>637993.57000000007</v>
      </c>
      <c r="I187" s="56"/>
      <c r="J187" s="56"/>
      <c r="K187" s="56"/>
    </row>
    <row r="188" spans="1:12" ht="15" thickBot="1" x14ac:dyDescent="0.35">
      <c r="A188" s="120" t="s">
        <v>38</v>
      </c>
      <c r="B188" s="6">
        <f t="shared" si="65"/>
        <v>21958.909999999996</v>
      </c>
      <c r="C188" s="8"/>
      <c r="D188" s="6"/>
      <c r="E188" s="6">
        <f>C188+B188-D188</f>
        <v>21958.909999999996</v>
      </c>
      <c r="F188" s="15"/>
      <c r="G188" s="17">
        <f>F188/B188</f>
        <v>0</v>
      </c>
      <c r="H188" s="57">
        <f>F188+E188</f>
        <v>21958.909999999996</v>
      </c>
      <c r="I188" s="56"/>
      <c r="J188" s="56"/>
      <c r="K188" s="56"/>
    </row>
    <row r="189" spans="1:12" ht="43.8" thickBot="1" x14ac:dyDescent="0.35">
      <c r="A189" s="120" t="s">
        <v>40</v>
      </c>
      <c r="B189" s="6">
        <f t="shared" si="65"/>
        <v>-1.1013412404281553E-13</v>
      </c>
      <c r="C189" s="8"/>
      <c r="D189" s="6"/>
      <c r="E189" s="6">
        <f>C189+B189-D189</f>
        <v>-1.1013412404281553E-13</v>
      </c>
      <c r="F189" s="15"/>
      <c r="G189" s="17">
        <f>F189/B189</f>
        <v>0</v>
      </c>
      <c r="H189" s="57">
        <f>F189+E189</f>
        <v>-1.1013412404281553E-13</v>
      </c>
      <c r="I189" s="56"/>
      <c r="J189" s="56"/>
      <c r="K189" s="56"/>
    </row>
    <row r="190" spans="1:12" ht="29.4" thickBot="1" x14ac:dyDescent="0.35">
      <c r="A190" s="120" t="s">
        <v>39</v>
      </c>
      <c r="B190" s="92">
        <f t="shared" si="65"/>
        <v>251124.69</v>
      </c>
      <c r="C190" s="8"/>
      <c r="D190" s="92"/>
      <c r="E190" s="92">
        <f>C190+B190-D190</f>
        <v>251124.69</v>
      </c>
      <c r="F190" s="132"/>
      <c r="G190" s="133">
        <f>F190/B190</f>
        <v>0</v>
      </c>
      <c r="H190" s="134">
        <f>F190+E190</f>
        <v>251124.69</v>
      </c>
      <c r="I190" s="56"/>
      <c r="J190" s="56"/>
      <c r="K190" s="56"/>
    </row>
    <row r="191" spans="1:12" ht="15" thickBot="1" x14ac:dyDescent="0.35">
      <c r="A191" s="120"/>
      <c r="B191" s="3"/>
      <c r="C191" s="3"/>
      <c r="D191" s="3"/>
      <c r="E191" s="3"/>
      <c r="F191" s="129"/>
      <c r="G191" s="130"/>
      <c r="H191" s="58"/>
      <c r="I191" s="56"/>
      <c r="J191" s="56"/>
      <c r="K191" s="56"/>
    </row>
    <row r="192" spans="1:12" ht="15" thickBot="1" x14ac:dyDescent="0.35">
      <c r="A192" s="120"/>
      <c r="B192" s="3"/>
      <c r="C192" s="3"/>
      <c r="D192" s="3"/>
      <c r="E192" s="3"/>
      <c r="F192" s="129"/>
      <c r="G192" s="130"/>
      <c r="H192" s="58"/>
      <c r="I192" s="56"/>
      <c r="J192" s="56"/>
      <c r="K192" s="56"/>
    </row>
    <row r="193" spans="1:11" ht="15" thickBot="1" x14ac:dyDescent="0.35">
      <c r="A193" s="9" t="s">
        <v>6</v>
      </c>
      <c r="B193" s="36">
        <f>SUM(B180:B190)</f>
        <v>9467633.6100000013</v>
      </c>
      <c r="C193" s="10"/>
      <c r="D193" s="10"/>
      <c r="E193" s="10"/>
      <c r="F193" s="36">
        <f>SUM(F180:F192)</f>
        <v>0</v>
      </c>
      <c r="G193" s="18"/>
      <c r="H193" s="11">
        <f>SUM(H180:H192)</f>
        <v>9467633.6100000013</v>
      </c>
      <c r="K193" s="56"/>
    </row>
    <row r="194" spans="1:11" x14ac:dyDescent="0.3">
      <c r="K194" s="56"/>
    </row>
    <row r="195" spans="1:11" x14ac:dyDescent="0.3">
      <c r="K195" s="56"/>
    </row>
    <row r="196" spans="1:11" x14ac:dyDescent="0.3">
      <c r="K196" s="56"/>
    </row>
    <row r="197" spans="1:11" x14ac:dyDescent="0.3">
      <c r="K197" s="5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0504-3EC4-40CE-8C85-9A965C2E735B}">
  <sheetPr>
    <tabColor theme="9" tint="-0.249977111117893"/>
  </sheetPr>
  <dimension ref="A2:K72"/>
  <sheetViews>
    <sheetView workbookViewId="0">
      <selection activeCell="I10" sqref="I10:J10"/>
    </sheetView>
  </sheetViews>
  <sheetFormatPr defaultRowHeight="14.4" x14ac:dyDescent="0.3"/>
  <cols>
    <col min="1" max="1" width="15.77734375" style="1" customWidth="1"/>
    <col min="2" max="2" width="15.109375" style="1" customWidth="1"/>
    <col min="3" max="4" width="14.21875" style="1" bestFit="1" customWidth="1"/>
    <col min="5" max="5" width="15.21875" style="1" bestFit="1" customWidth="1"/>
    <col min="6" max="6" width="15.44140625" style="14" customWidth="1"/>
    <col min="7" max="7" width="14.21875" style="16" customWidth="1"/>
    <col min="8" max="8" width="14.33203125" style="1" bestFit="1" customWidth="1"/>
    <col min="9" max="10" width="14.88671875" bestFit="1" customWidth="1"/>
    <col min="11" max="11" width="10.5546875" bestFit="1" customWidth="1"/>
  </cols>
  <sheetData>
    <row r="2" spans="1:10" ht="15" thickBot="1" x14ac:dyDescent="0.35"/>
    <row r="3" spans="1:10" ht="29.4" thickBot="1" x14ac:dyDescent="0.35">
      <c r="A3" s="44">
        <v>46023</v>
      </c>
      <c r="B3" s="45" t="s">
        <v>4</v>
      </c>
      <c r="C3" s="45" t="s">
        <v>0</v>
      </c>
      <c r="D3" s="45" t="s">
        <v>5</v>
      </c>
      <c r="E3" s="46" t="s">
        <v>8</v>
      </c>
      <c r="F3" s="47" t="s">
        <v>10</v>
      </c>
      <c r="G3" s="48" t="s">
        <v>9</v>
      </c>
      <c r="H3" s="46" t="s">
        <v>41</v>
      </c>
    </row>
    <row r="4" spans="1:10" ht="15" thickBot="1" x14ac:dyDescent="0.35">
      <c r="A4" s="49" t="s">
        <v>35</v>
      </c>
      <c r="B4" s="6">
        <v>1271754.69</v>
      </c>
      <c r="C4" s="6"/>
      <c r="D4" s="6"/>
      <c r="E4" s="6">
        <f>C4+B4-D4</f>
        <v>1271754.69</v>
      </c>
      <c r="F4" s="15">
        <v>14154.87</v>
      </c>
      <c r="G4" s="17">
        <f>F4/B4</f>
        <v>1.1130188951770252E-2</v>
      </c>
      <c r="H4" s="6">
        <f>F4+E4</f>
        <v>1285909.56</v>
      </c>
      <c r="I4" s="56"/>
      <c r="J4" s="56"/>
    </row>
    <row r="5" spans="1:10" ht="15" thickBot="1" x14ac:dyDescent="0.35">
      <c r="A5" s="49"/>
      <c r="B5" s="8"/>
      <c r="C5" s="8"/>
      <c r="D5" s="6"/>
      <c r="E5" s="6">
        <f>C5+B5-D5</f>
        <v>0</v>
      </c>
      <c r="F5" s="15"/>
      <c r="G5" s="17" t="e">
        <f>F5/B5</f>
        <v>#DIV/0!</v>
      </c>
      <c r="H5" s="6">
        <f>F5+E5</f>
        <v>0</v>
      </c>
    </row>
    <row r="6" spans="1:10" ht="15" thickBot="1" x14ac:dyDescent="0.35">
      <c r="A6" s="102"/>
      <c r="B6" s="8"/>
      <c r="C6" s="8"/>
      <c r="D6" s="6"/>
      <c r="E6" s="6">
        <f>C6+B6-D6</f>
        <v>0</v>
      </c>
      <c r="F6" s="15"/>
      <c r="G6" s="17" t="e">
        <f>F6/B6</f>
        <v>#DIV/0!</v>
      </c>
      <c r="H6" s="6">
        <f>F6+E6</f>
        <v>0</v>
      </c>
    </row>
    <row r="7" spans="1:10" ht="15" thickBot="1" x14ac:dyDescent="0.35">
      <c r="A7" s="9" t="s">
        <v>6</v>
      </c>
      <c r="B7" s="36">
        <f>SUM(B4:B6)</f>
        <v>1271754.69</v>
      </c>
      <c r="C7" s="36">
        <f t="shared" ref="C7:H7" si="0">SUM(C4:C6)</f>
        <v>0</v>
      </c>
      <c r="D7" s="36">
        <f t="shared" si="0"/>
        <v>0</v>
      </c>
      <c r="E7" s="36">
        <f t="shared" si="0"/>
        <v>1271754.69</v>
      </c>
      <c r="F7" s="36">
        <f t="shared" si="0"/>
        <v>14154.87</v>
      </c>
      <c r="G7" s="36" t="e">
        <f t="shared" si="0"/>
        <v>#DIV/0!</v>
      </c>
      <c r="H7" s="36">
        <f t="shared" si="0"/>
        <v>1285909.56</v>
      </c>
    </row>
    <row r="8" spans="1:10" ht="15" thickBot="1" x14ac:dyDescent="0.35"/>
    <row r="9" spans="1:10" ht="29.4" thickBot="1" x14ac:dyDescent="0.35">
      <c r="A9" s="44">
        <v>46054</v>
      </c>
      <c r="B9" s="45" t="s">
        <v>4</v>
      </c>
      <c r="C9" s="45" t="s">
        <v>0</v>
      </c>
      <c r="D9" s="45" t="s">
        <v>5</v>
      </c>
      <c r="E9" s="46" t="s">
        <v>8</v>
      </c>
      <c r="F9" s="47" t="s">
        <v>10</v>
      </c>
      <c r="G9" s="48" t="s">
        <v>9</v>
      </c>
      <c r="H9" s="46" t="s">
        <v>52</v>
      </c>
    </row>
    <row r="10" spans="1:10" ht="15" thickBot="1" x14ac:dyDescent="0.35">
      <c r="A10" s="49" t="s">
        <v>67</v>
      </c>
      <c r="B10" s="6">
        <f>H4</f>
        <v>1285909.56</v>
      </c>
      <c r="C10" s="6"/>
      <c r="D10" s="6"/>
      <c r="E10" s="6">
        <f>C10+B10-D10</f>
        <v>1285909.56</v>
      </c>
      <c r="F10" s="15">
        <v>15079.56</v>
      </c>
      <c r="G10" s="17">
        <f>F10/B10</f>
        <v>1.1726765605506501E-2</v>
      </c>
      <c r="H10" s="6">
        <f>F10+E10</f>
        <v>1300989.1200000001</v>
      </c>
      <c r="J10" s="56"/>
    </row>
    <row r="11" spans="1:10" ht="15" thickBot="1" x14ac:dyDescent="0.35">
      <c r="A11" s="50"/>
      <c r="B11" s="6">
        <f>H5</f>
        <v>0</v>
      </c>
      <c r="C11" s="8"/>
      <c r="D11" s="6"/>
      <c r="E11" s="6">
        <f>C11+B11-D11</f>
        <v>0</v>
      </c>
      <c r="F11" s="15"/>
      <c r="G11" s="17" t="e">
        <f>F11/B11</f>
        <v>#DIV/0!</v>
      </c>
      <c r="H11" s="6">
        <f>F11+E11</f>
        <v>0</v>
      </c>
    </row>
    <row r="12" spans="1:10" ht="15" thickBot="1" x14ac:dyDescent="0.35">
      <c r="A12" s="103"/>
      <c r="B12" s="6">
        <f>H6</f>
        <v>0</v>
      </c>
      <c r="C12" s="8"/>
      <c r="D12" s="6"/>
      <c r="E12" s="6">
        <f>C12+B12-D12</f>
        <v>0</v>
      </c>
      <c r="F12" s="15"/>
      <c r="G12" s="17" t="e">
        <f>F12/B12</f>
        <v>#DIV/0!</v>
      </c>
      <c r="H12" s="6">
        <f>F12+E12</f>
        <v>0</v>
      </c>
    </row>
    <row r="13" spans="1:10" ht="15" thickBot="1" x14ac:dyDescent="0.35">
      <c r="A13" s="9" t="s">
        <v>6</v>
      </c>
      <c r="B13" s="36">
        <f>SUM(B10:B12)</f>
        <v>1285909.56</v>
      </c>
      <c r="C13" s="36">
        <f t="shared" ref="C13:H13" si="1">SUM(C10:C12)</f>
        <v>0</v>
      </c>
      <c r="D13" s="36">
        <f t="shared" si="1"/>
        <v>0</v>
      </c>
      <c r="E13" s="36">
        <f t="shared" si="1"/>
        <v>1285909.56</v>
      </c>
      <c r="F13" s="36">
        <f t="shared" si="1"/>
        <v>15079.56</v>
      </c>
      <c r="G13" s="36" t="e">
        <f t="shared" si="1"/>
        <v>#DIV/0!</v>
      </c>
      <c r="H13" s="36">
        <f t="shared" si="1"/>
        <v>1300989.1200000001</v>
      </c>
    </row>
    <row r="14" spans="1:10" ht="15" thickBot="1" x14ac:dyDescent="0.35"/>
    <row r="15" spans="1:10" ht="29.4" thickBot="1" x14ac:dyDescent="0.35">
      <c r="A15" s="44">
        <v>46082</v>
      </c>
      <c r="B15" s="45" t="s">
        <v>4</v>
      </c>
      <c r="C15" s="45" t="s">
        <v>0</v>
      </c>
      <c r="D15" s="45" t="s">
        <v>5</v>
      </c>
      <c r="E15" s="46" t="s">
        <v>8</v>
      </c>
      <c r="F15" s="47" t="s">
        <v>10</v>
      </c>
      <c r="G15" s="48" t="s">
        <v>9</v>
      </c>
      <c r="H15" s="46" t="s">
        <v>53</v>
      </c>
    </row>
    <row r="16" spans="1:10" ht="15" thickBot="1" x14ac:dyDescent="0.35">
      <c r="A16" s="49" t="s">
        <v>67</v>
      </c>
      <c r="B16" s="6">
        <f>H10</f>
        <v>1300989.1200000001</v>
      </c>
      <c r="C16" s="6"/>
      <c r="D16" s="6"/>
      <c r="E16" s="6">
        <f>C16+B16-D16</f>
        <v>1300989.1200000001</v>
      </c>
      <c r="F16" s="15"/>
      <c r="G16" s="17">
        <f>F16/B16</f>
        <v>0</v>
      </c>
      <c r="H16" s="6">
        <f>F16+E16</f>
        <v>1300989.1200000001</v>
      </c>
      <c r="I16" s="56"/>
    </row>
    <row r="17" spans="1:11" ht="15" thickBot="1" x14ac:dyDescent="0.35">
      <c r="A17" s="50"/>
      <c r="B17" s="6">
        <f>H11</f>
        <v>0</v>
      </c>
      <c r="C17" s="8"/>
      <c r="D17" s="6"/>
      <c r="E17" s="6">
        <f>C17+B17-D17</f>
        <v>0</v>
      </c>
      <c r="F17" s="15"/>
      <c r="G17" s="17" t="e">
        <f>F17/B17</f>
        <v>#DIV/0!</v>
      </c>
      <c r="H17" s="6">
        <f>F17+E17</f>
        <v>0</v>
      </c>
      <c r="J17" s="56"/>
    </row>
    <row r="18" spans="1:11" ht="15" thickBot="1" x14ac:dyDescent="0.35">
      <c r="A18" s="103"/>
      <c r="B18" s="6">
        <f>H12</f>
        <v>0</v>
      </c>
      <c r="C18" s="8"/>
      <c r="D18" s="6"/>
      <c r="E18" s="6">
        <f>C18+B18-D18</f>
        <v>0</v>
      </c>
      <c r="F18" s="15"/>
      <c r="G18" s="17" t="e">
        <f>F18/B18</f>
        <v>#DIV/0!</v>
      </c>
      <c r="H18" s="6">
        <f>F18+E18</f>
        <v>0</v>
      </c>
      <c r="J18" s="56"/>
    </row>
    <row r="19" spans="1:11" ht="15" thickBot="1" x14ac:dyDescent="0.35">
      <c r="A19" s="9" t="s">
        <v>6</v>
      </c>
      <c r="B19" s="36">
        <f>SUM(B16:B18)</f>
        <v>1300989.1200000001</v>
      </c>
      <c r="C19" s="36">
        <f t="shared" ref="C19:H19" si="2">SUM(C16:C18)</f>
        <v>0</v>
      </c>
      <c r="D19" s="36">
        <f t="shared" si="2"/>
        <v>0</v>
      </c>
      <c r="E19" s="36">
        <f t="shared" si="2"/>
        <v>1300989.1200000001</v>
      </c>
      <c r="F19" s="36">
        <f t="shared" si="2"/>
        <v>0</v>
      </c>
      <c r="G19" s="36" t="e">
        <f t="shared" si="2"/>
        <v>#DIV/0!</v>
      </c>
      <c r="H19" s="36">
        <f t="shared" si="2"/>
        <v>1300989.1200000001</v>
      </c>
    </row>
    <row r="20" spans="1:11" ht="15" thickBot="1" x14ac:dyDescent="0.35"/>
    <row r="21" spans="1:11" ht="29.4" thickBot="1" x14ac:dyDescent="0.35">
      <c r="A21" s="44">
        <v>46113</v>
      </c>
      <c r="B21" s="45" t="s">
        <v>4</v>
      </c>
      <c r="C21" s="45" t="s">
        <v>0</v>
      </c>
      <c r="D21" s="45" t="s">
        <v>5</v>
      </c>
      <c r="E21" s="46" t="s">
        <v>8</v>
      </c>
      <c r="F21" s="47" t="s">
        <v>10</v>
      </c>
      <c r="G21" s="48" t="s">
        <v>9</v>
      </c>
      <c r="H21" s="46" t="s">
        <v>43</v>
      </c>
    </row>
    <row r="22" spans="1:11" ht="15" thickBot="1" x14ac:dyDescent="0.35">
      <c r="A22" s="49" t="s">
        <v>21</v>
      </c>
      <c r="B22" s="6">
        <f>H16</f>
        <v>1300989.1200000001</v>
      </c>
      <c r="C22" s="6"/>
      <c r="D22" s="6"/>
      <c r="E22" s="6">
        <f>C22+B22-D22</f>
        <v>1300989.1200000001</v>
      </c>
      <c r="F22" s="15"/>
      <c r="G22" s="17">
        <f>F22/B22</f>
        <v>0</v>
      </c>
      <c r="H22" s="6">
        <f>F22+E22</f>
        <v>1300989.1200000001</v>
      </c>
      <c r="J22" s="56"/>
      <c r="K22" s="56"/>
    </row>
    <row r="23" spans="1:11" ht="15" thickBot="1" x14ac:dyDescent="0.35">
      <c r="A23" s="50"/>
      <c r="B23" s="6">
        <f>H17</f>
        <v>0</v>
      </c>
      <c r="C23" s="8"/>
      <c r="D23" s="6"/>
      <c r="E23" s="6">
        <f>C23+B23-D23</f>
        <v>0</v>
      </c>
      <c r="F23" s="15"/>
      <c r="G23" s="17" t="e">
        <f>F23/B23</f>
        <v>#DIV/0!</v>
      </c>
      <c r="H23" s="6">
        <f>F23+E23</f>
        <v>0</v>
      </c>
    </row>
    <row r="24" spans="1:11" ht="15" thickBot="1" x14ac:dyDescent="0.35">
      <c r="A24" s="103"/>
      <c r="B24" s="6">
        <f>H18</f>
        <v>0</v>
      </c>
      <c r="C24" s="8"/>
      <c r="D24" s="6"/>
      <c r="E24" s="6">
        <f>C24+B24-D24</f>
        <v>0</v>
      </c>
      <c r="F24" s="15"/>
      <c r="G24" s="17" t="e">
        <f>F24/B24</f>
        <v>#DIV/0!</v>
      </c>
      <c r="H24" s="6">
        <f>F24+E24</f>
        <v>0</v>
      </c>
    </row>
    <row r="25" spans="1:11" ht="15" thickBot="1" x14ac:dyDescent="0.35">
      <c r="A25" s="9" t="s">
        <v>6</v>
      </c>
      <c r="B25" s="36">
        <f>SUM(B22:B24)</f>
        <v>1300989.1200000001</v>
      </c>
      <c r="C25" s="36">
        <f t="shared" ref="C25:H25" si="3">SUM(C22:C24)</f>
        <v>0</v>
      </c>
      <c r="D25" s="36">
        <f t="shared" si="3"/>
        <v>0</v>
      </c>
      <c r="E25" s="36">
        <f t="shared" si="3"/>
        <v>1300989.1200000001</v>
      </c>
      <c r="F25" s="36">
        <f t="shared" si="3"/>
        <v>0</v>
      </c>
      <c r="G25" s="36" t="e">
        <f t="shared" si="3"/>
        <v>#DIV/0!</v>
      </c>
      <c r="H25" s="36">
        <f t="shared" si="3"/>
        <v>1300989.1200000001</v>
      </c>
    </row>
    <row r="26" spans="1:11" ht="15" thickBot="1" x14ac:dyDescent="0.35"/>
    <row r="27" spans="1:11" ht="29.4" thickBot="1" x14ac:dyDescent="0.35">
      <c r="A27" s="44">
        <v>46143</v>
      </c>
      <c r="B27" s="45" t="s">
        <v>4</v>
      </c>
      <c r="C27" s="45" t="s">
        <v>0</v>
      </c>
      <c r="D27" s="45" t="s">
        <v>5</v>
      </c>
      <c r="E27" s="46" t="s">
        <v>8</v>
      </c>
      <c r="F27" s="47" t="s">
        <v>10</v>
      </c>
      <c r="G27" s="48" t="s">
        <v>9</v>
      </c>
      <c r="H27" s="46" t="s">
        <v>44</v>
      </c>
    </row>
    <row r="28" spans="1:11" ht="15" thickBot="1" x14ac:dyDescent="0.35">
      <c r="A28" s="49" t="s">
        <v>21</v>
      </c>
      <c r="B28" s="6">
        <f>H22</f>
        <v>1300989.1200000001</v>
      </c>
      <c r="C28" s="6"/>
      <c r="D28" s="6"/>
      <c r="E28" s="6">
        <f>C28+B28-D28</f>
        <v>1300989.1200000001</v>
      </c>
      <c r="F28" s="15"/>
      <c r="G28" s="17">
        <f>F28/B28</f>
        <v>0</v>
      </c>
      <c r="H28" s="6">
        <f>F28+E28</f>
        <v>1300989.1200000001</v>
      </c>
      <c r="I28" s="56"/>
    </row>
    <row r="29" spans="1:11" ht="15" thickBot="1" x14ac:dyDescent="0.35">
      <c r="A29" s="50"/>
      <c r="B29" s="6">
        <f>H23</f>
        <v>0</v>
      </c>
      <c r="C29" s="8"/>
      <c r="D29" s="6"/>
      <c r="E29" s="6">
        <f>C29+B29-D29</f>
        <v>0</v>
      </c>
      <c r="F29" s="15"/>
      <c r="G29" s="17" t="e">
        <f>F29/B29</f>
        <v>#DIV/0!</v>
      </c>
      <c r="H29" s="6">
        <f>F29+E29</f>
        <v>0</v>
      </c>
    </row>
    <row r="30" spans="1:11" ht="15" thickBot="1" x14ac:dyDescent="0.35">
      <c r="A30" s="103"/>
      <c r="B30" s="6">
        <f>H24</f>
        <v>0</v>
      </c>
      <c r="C30" s="8"/>
      <c r="D30" s="6"/>
      <c r="E30" s="6">
        <f>C30+B30-D30</f>
        <v>0</v>
      </c>
      <c r="F30" s="15"/>
      <c r="G30" s="17" t="e">
        <f>F30/B30</f>
        <v>#DIV/0!</v>
      </c>
      <c r="H30" s="6">
        <f>F30+E30</f>
        <v>0</v>
      </c>
    </row>
    <row r="31" spans="1:11" ht="15" thickBot="1" x14ac:dyDescent="0.35">
      <c r="A31" s="9" t="s">
        <v>6</v>
      </c>
      <c r="B31" s="36">
        <f>SUM(B28:B30)</f>
        <v>1300989.1200000001</v>
      </c>
      <c r="C31" s="36">
        <f t="shared" ref="C31:H31" si="4">SUM(C28:C30)</f>
        <v>0</v>
      </c>
      <c r="D31" s="36">
        <f t="shared" si="4"/>
        <v>0</v>
      </c>
      <c r="E31" s="36">
        <f t="shared" si="4"/>
        <v>1300989.1200000001</v>
      </c>
      <c r="F31" s="36">
        <f t="shared" si="4"/>
        <v>0</v>
      </c>
      <c r="G31" s="36" t="e">
        <f t="shared" si="4"/>
        <v>#DIV/0!</v>
      </c>
      <c r="H31" s="36">
        <f t="shared" si="4"/>
        <v>1300989.1200000001</v>
      </c>
    </row>
    <row r="32" spans="1:11" ht="15" thickBot="1" x14ac:dyDescent="0.35"/>
    <row r="33" spans="1:10" ht="29.4" thickBot="1" x14ac:dyDescent="0.35">
      <c r="A33" s="44">
        <v>46174</v>
      </c>
      <c r="B33" s="45" t="s">
        <v>4</v>
      </c>
      <c r="C33" s="45" t="s">
        <v>0</v>
      </c>
      <c r="D33" s="45" t="s">
        <v>5</v>
      </c>
      <c r="E33" s="46" t="s">
        <v>8</v>
      </c>
      <c r="F33" s="47" t="s">
        <v>10</v>
      </c>
      <c r="G33" s="48" t="s">
        <v>9</v>
      </c>
      <c r="H33" s="46" t="s">
        <v>45</v>
      </c>
    </row>
    <row r="34" spans="1:10" ht="15" thickBot="1" x14ac:dyDescent="0.35">
      <c r="A34" s="49" t="s">
        <v>21</v>
      </c>
      <c r="B34" s="6">
        <f>H28</f>
        <v>1300989.1200000001</v>
      </c>
      <c r="C34" s="6"/>
      <c r="D34" s="6"/>
      <c r="E34" s="6">
        <f>C34+B34-D34</f>
        <v>1300989.1200000001</v>
      </c>
      <c r="F34" s="15"/>
      <c r="G34" s="17">
        <f>F34/B34</f>
        <v>0</v>
      </c>
      <c r="H34" s="6">
        <f>F34+E34</f>
        <v>1300989.1200000001</v>
      </c>
      <c r="J34" s="56"/>
    </row>
    <row r="35" spans="1:10" ht="15" thickBot="1" x14ac:dyDescent="0.35">
      <c r="A35" s="50"/>
      <c r="B35" s="6">
        <f>H29</f>
        <v>0</v>
      </c>
      <c r="C35" s="3"/>
      <c r="D35" s="6"/>
      <c r="E35" s="6">
        <f>C35+B35-D35</f>
        <v>0</v>
      </c>
      <c r="F35" s="15"/>
      <c r="G35" s="17" t="e">
        <f>F35/B35</f>
        <v>#DIV/0!</v>
      </c>
      <c r="H35" s="6">
        <f>F35+E35</f>
        <v>0</v>
      </c>
    </row>
    <row r="36" spans="1:10" ht="15" thickBot="1" x14ac:dyDescent="0.35">
      <c r="A36" s="103"/>
      <c r="B36" s="6">
        <f>H30</f>
        <v>0</v>
      </c>
      <c r="C36" s="3"/>
      <c r="D36" s="6"/>
      <c r="E36" s="6">
        <f>C36+B36-D36</f>
        <v>0</v>
      </c>
      <c r="F36" s="15"/>
      <c r="G36" s="17" t="e">
        <f>F36/B36</f>
        <v>#DIV/0!</v>
      </c>
      <c r="H36" s="6">
        <f>F36+E36</f>
        <v>0</v>
      </c>
    </row>
    <row r="37" spans="1:10" ht="15" thickBot="1" x14ac:dyDescent="0.35">
      <c r="A37" s="9" t="s">
        <v>6</v>
      </c>
      <c r="B37" s="36">
        <f>SUM(B34:B36)</f>
        <v>1300989.1200000001</v>
      </c>
      <c r="C37" s="36">
        <f t="shared" ref="C37:H37" si="5">SUM(C34:C36)</f>
        <v>0</v>
      </c>
      <c r="D37" s="36">
        <f t="shared" si="5"/>
        <v>0</v>
      </c>
      <c r="E37" s="36">
        <f t="shared" si="5"/>
        <v>1300989.1200000001</v>
      </c>
      <c r="F37" s="36">
        <f t="shared" si="5"/>
        <v>0</v>
      </c>
      <c r="G37" s="36" t="e">
        <f t="shared" si="5"/>
        <v>#DIV/0!</v>
      </c>
      <c r="H37" s="36">
        <f t="shared" si="5"/>
        <v>1300989.1200000001</v>
      </c>
    </row>
    <row r="38" spans="1:10" ht="15" thickBot="1" x14ac:dyDescent="0.35"/>
    <row r="39" spans="1:10" ht="29.4" thickBot="1" x14ac:dyDescent="0.35">
      <c r="A39" s="44">
        <v>46204</v>
      </c>
      <c r="B39" s="45" t="s">
        <v>4</v>
      </c>
      <c r="C39" s="45" t="s">
        <v>0</v>
      </c>
      <c r="D39" s="45" t="s">
        <v>5</v>
      </c>
      <c r="E39" s="46" t="s">
        <v>8</v>
      </c>
      <c r="F39" s="47" t="s">
        <v>10</v>
      </c>
      <c r="G39" s="48" t="s">
        <v>9</v>
      </c>
      <c r="H39" s="46" t="s">
        <v>46</v>
      </c>
    </row>
    <row r="40" spans="1:10" ht="15" thickBot="1" x14ac:dyDescent="0.35">
      <c r="A40" s="49" t="s">
        <v>21</v>
      </c>
      <c r="B40" s="6">
        <f>H34</f>
        <v>1300989.1200000001</v>
      </c>
      <c r="C40" s="6"/>
      <c r="D40" s="6"/>
      <c r="E40" s="6">
        <f>C40+B40-D40</f>
        <v>1300989.1200000001</v>
      </c>
      <c r="F40" s="15"/>
      <c r="G40" s="17">
        <f>F40/B40</f>
        <v>0</v>
      </c>
      <c r="H40" s="6">
        <f>F40+E40</f>
        <v>1300989.1200000001</v>
      </c>
    </row>
    <row r="41" spans="1:10" ht="15" thickBot="1" x14ac:dyDescent="0.35">
      <c r="A41" s="50" t="s">
        <v>35</v>
      </c>
      <c r="B41" s="6">
        <f>H35</f>
        <v>0</v>
      </c>
      <c r="C41" s="3"/>
      <c r="D41" s="6"/>
      <c r="E41" s="6">
        <f>C41+B41-D41</f>
        <v>0</v>
      </c>
      <c r="F41" s="15"/>
      <c r="G41" s="17" t="e">
        <f>F41/B41</f>
        <v>#DIV/0!</v>
      </c>
      <c r="H41" s="6">
        <f>F41+E41</f>
        <v>0</v>
      </c>
    </row>
    <row r="42" spans="1:10" ht="15" thickBot="1" x14ac:dyDescent="0.35">
      <c r="A42" s="103"/>
      <c r="B42" s="6">
        <f>H36</f>
        <v>0</v>
      </c>
      <c r="C42" s="3"/>
      <c r="D42" s="6"/>
      <c r="E42" s="6">
        <f>C42+B42-D42</f>
        <v>0</v>
      </c>
      <c r="F42" s="15"/>
      <c r="G42" s="17" t="e">
        <f>F42/B42</f>
        <v>#DIV/0!</v>
      </c>
      <c r="H42" s="6">
        <f>F42+E42</f>
        <v>0</v>
      </c>
    </row>
    <row r="43" spans="1:10" ht="15" thickBot="1" x14ac:dyDescent="0.35">
      <c r="A43" s="9" t="s">
        <v>6</v>
      </c>
      <c r="B43" s="36">
        <f>SUM(B40:B42)</f>
        <v>1300989.1200000001</v>
      </c>
      <c r="C43" s="36">
        <f t="shared" ref="C43:H43" si="6">SUM(C40:C42)</f>
        <v>0</v>
      </c>
      <c r="D43" s="36">
        <f t="shared" si="6"/>
        <v>0</v>
      </c>
      <c r="E43" s="36">
        <f t="shared" si="6"/>
        <v>1300989.1200000001</v>
      </c>
      <c r="F43" s="36">
        <f t="shared" si="6"/>
        <v>0</v>
      </c>
      <c r="G43" s="36" t="e">
        <f t="shared" si="6"/>
        <v>#DIV/0!</v>
      </c>
      <c r="H43" s="36">
        <f t="shared" si="6"/>
        <v>1300989.1200000001</v>
      </c>
    </row>
    <row r="44" spans="1:10" ht="15" thickBot="1" x14ac:dyDescent="0.35"/>
    <row r="45" spans="1:10" ht="29.4" thickBot="1" x14ac:dyDescent="0.35">
      <c r="A45" s="44">
        <v>46235</v>
      </c>
      <c r="B45" s="45" t="s">
        <v>4</v>
      </c>
      <c r="C45" s="45" t="s">
        <v>0</v>
      </c>
      <c r="D45" s="45" t="s">
        <v>5</v>
      </c>
      <c r="E45" s="46" t="s">
        <v>8</v>
      </c>
      <c r="F45" s="47" t="s">
        <v>10</v>
      </c>
      <c r="G45" s="48" t="s">
        <v>9</v>
      </c>
      <c r="H45" s="46" t="s">
        <v>47</v>
      </c>
    </row>
    <row r="46" spans="1:10" ht="15" thickBot="1" x14ac:dyDescent="0.35">
      <c r="A46" s="49" t="s">
        <v>21</v>
      </c>
      <c r="B46" s="6">
        <f>H40</f>
        <v>1300989.1200000001</v>
      </c>
      <c r="C46" s="6"/>
      <c r="D46" s="6"/>
      <c r="E46" s="6">
        <f>C46+B46-D46</f>
        <v>1300989.1200000001</v>
      </c>
      <c r="F46" s="15"/>
      <c r="G46" s="17">
        <f>F46/B46</f>
        <v>0</v>
      </c>
      <c r="H46" s="6">
        <f>F46+E46</f>
        <v>1300989.1200000001</v>
      </c>
      <c r="J46" s="56"/>
    </row>
    <row r="47" spans="1:10" ht="15" thickBot="1" x14ac:dyDescent="0.35">
      <c r="A47" s="50" t="s">
        <v>35</v>
      </c>
      <c r="B47" s="6">
        <f>H41</f>
        <v>0</v>
      </c>
      <c r="C47" s="3"/>
      <c r="D47" s="6"/>
      <c r="E47" s="6">
        <f>C47+B47-D47</f>
        <v>0</v>
      </c>
      <c r="F47" s="15"/>
      <c r="G47" s="17" t="e">
        <f>F47/B47</f>
        <v>#DIV/0!</v>
      </c>
      <c r="H47" s="6">
        <f>F47+E47</f>
        <v>0</v>
      </c>
      <c r="I47" s="56"/>
    </row>
    <row r="48" spans="1:10" ht="15" thickBot="1" x14ac:dyDescent="0.35">
      <c r="A48" s="103"/>
      <c r="B48" s="6">
        <f>H42</f>
        <v>0</v>
      </c>
      <c r="C48" s="3"/>
      <c r="D48" s="6"/>
      <c r="E48" s="6">
        <f>C48+B48-D48</f>
        <v>0</v>
      </c>
      <c r="F48" s="15"/>
      <c r="G48" s="17" t="e">
        <f>F48/B48</f>
        <v>#DIV/0!</v>
      </c>
      <c r="H48" s="6">
        <f>F48+E48</f>
        <v>0</v>
      </c>
    </row>
    <row r="49" spans="1:10" ht="15" thickBot="1" x14ac:dyDescent="0.35">
      <c r="A49" s="9" t="s">
        <v>6</v>
      </c>
      <c r="B49" s="36">
        <f>SUM(B46:B48)</f>
        <v>1300989.1200000001</v>
      </c>
      <c r="C49" s="36">
        <f t="shared" ref="C49:H49" si="7">SUM(C46:C48)</f>
        <v>0</v>
      </c>
      <c r="D49" s="36">
        <f t="shared" si="7"/>
        <v>0</v>
      </c>
      <c r="E49" s="36">
        <f t="shared" si="7"/>
        <v>1300989.1200000001</v>
      </c>
      <c r="F49" s="36">
        <f t="shared" si="7"/>
        <v>0</v>
      </c>
      <c r="G49" s="36" t="e">
        <f t="shared" si="7"/>
        <v>#DIV/0!</v>
      </c>
      <c r="H49" s="36">
        <f t="shared" si="7"/>
        <v>1300989.1200000001</v>
      </c>
    </row>
    <row r="50" spans="1:10" ht="15" thickBot="1" x14ac:dyDescent="0.35"/>
    <row r="51" spans="1:10" ht="29.4" thickBot="1" x14ac:dyDescent="0.35">
      <c r="A51" s="44">
        <v>46266</v>
      </c>
      <c r="B51" s="45" t="s">
        <v>4</v>
      </c>
      <c r="C51" s="45" t="s">
        <v>0</v>
      </c>
      <c r="D51" s="45" t="s">
        <v>5</v>
      </c>
      <c r="E51" s="46" t="s">
        <v>8</v>
      </c>
      <c r="F51" s="47" t="s">
        <v>10</v>
      </c>
      <c r="G51" s="48" t="s">
        <v>9</v>
      </c>
      <c r="H51" s="46" t="s">
        <v>48</v>
      </c>
    </row>
    <row r="52" spans="1:10" ht="15" thickBot="1" x14ac:dyDescent="0.35">
      <c r="A52" s="49" t="s">
        <v>21</v>
      </c>
      <c r="B52" s="6">
        <f>H46</f>
        <v>1300989.1200000001</v>
      </c>
      <c r="C52" s="6"/>
      <c r="D52" s="6"/>
      <c r="E52" s="6">
        <f>C52+B52-D52</f>
        <v>1300989.1200000001</v>
      </c>
      <c r="F52" s="15"/>
      <c r="G52" s="17">
        <f>F52/B52</f>
        <v>0</v>
      </c>
      <c r="H52" s="6">
        <f>F52+E52</f>
        <v>1300989.1200000001</v>
      </c>
      <c r="J52" s="56"/>
    </row>
    <row r="53" spans="1:10" ht="15" thickBot="1" x14ac:dyDescent="0.35">
      <c r="A53" s="50" t="s">
        <v>35</v>
      </c>
      <c r="B53" s="6">
        <f>H47</f>
        <v>0</v>
      </c>
      <c r="C53" s="3"/>
      <c r="D53" s="6"/>
      <c r="E53" s="6">
        <f>C53+B53-D53</f>
        <v>0</v>
      </c>
      <c r="F53" s="15"/>
      <c r="G53" s="17" t="e">
        <f>F53/B53</f>
        <v>#DIV/0!</v>
      </c>
      <c r="H53" s="6">
        <f>F53+E53</f>
        <v>0</v>
      </c>
      <c r="J53" s="56"/>
    </row>
    <row r="54" spans="1:10" ht="15" thickBot="1" x14ac:dyDescent="0.35">
      <c r="A54" s="103"/>
      <c r="B54" s="6">
        <f>H48</f>
        <v>0</v>
      </c>
      <c r="C54" s="3"/>
      <c r="D54" s="6"/>
      <c r="E54" s="6">
        <f>C54+B54-D54</f>
        <v>0</v>
      </c>
      <c r="F54" s="15"/>
      <c r="G54" s="17" t="e">
        <f>F54/B54</f>
        <v>#DIV/0!</v>
      </c>
      <c r="H54" s="6">
        <f>F54+E54</f>
        <v>0</v>
      </c>
    </row>
    <row r="55" spans="1:10" ht="15" thickBot="1" x14ac:dyDescent="0.35">
      <c r="A55" s="9" t="s">
        <v>6</v>
      </c>
      <c r="B55" s="36">
        <f>SUM(B52:B54)</f>
        <v>1300989.1200000001</v>
      </c>
      <c r="C55" s="36">
        <f t="shared" ref="C55:H55" si="8">SUM(C52:C54)</f>
        <v>0</v>
      </c>
      <c r="D55" s="36">
        <f t="shared" si="8"/>
        <v>0</v>
      </c>
      <c r="E55" s="36">
        <f t="shared" si="8"/>
        <v>1300989.1200000001</v>
      </c>
      <c r="F55" s="36">
        <f t="shared" si="8"/>
        <v>0</v>
      </c>
      <c r="G55" s="36" t="e">
        <f t="shared" si="8"/>
        <v>#DIV/0!</v>
      </c>
      <c r="H55" s="36">
        <f t="shared" si="8"/>
        <v>1300989.1200000001</v>
      </c>
    </row>
    <row r="56" spans="1:10" ht="15" thickBot="1" x14ac:dyDescent="0.35"/>
    <row r="57" spans="1:10" ht="29.4" thickBot="1" x14ac:dyDescent="0.35">
      <c r="A57" s="44">
        <v>46296</v>
      </c>
      <c r="B57" s="45" t="s">
        <v>4</v>
      </c>
      <c r="C57" s="45" t="s">
        <v>0</v>
      </c>
      <c r="D57" s="45" t="s">
        <v>5</v>
      </c>
      <c r="E57" s="46" t="s">
        <v>8</v>
      </c>
      <c r="F57" s="47" t="s">
        <v>10</v>
      </c>
      <c r="G57" s="48" t="s">
        <v>9</v>
      </c>
      <c r="H57" s="46" t="s">
        <v>49</v>
      </c>
    </row>
    <row r="58" spans="1:10" ht="15" thickBot="1" x14ac:dyDescent="0.35">
      <c r="A58" s="49" t="s">
        <v>21</v>
      </c>
      <c r="B58" s="6">
        <f>H52</f>
        <v>1300989.1200000001</v>
      </c>
      <c r="C58" s="6"/>
      <c r="D58" s="6"/>
      <c r="E58" s="6">
        <f>C58+B58-D58</f>
        <v>1300989.1200000001</v>
      </c>
      <c r="F58" s="15"/>
      <c r="G58" s="17">
        <f>F58/B58</f>
        <v>0</v>
      </c>
      <c r="H58" s="6">
        <f>F58+E58</f>
        <v>1300989.1200000001</v>
      </c>
      <c r="I58" s="56"/>
    </row>
    <row r="59" spans="1:10" ht="15" thickBot="1" x14ac:dyDescent="0.35">
      <c r="A59" s="50" t="s">
        <v>35</v>
      </c>
      <c r="B59" s="6">
        <f>H53</f>
        <v>0</v>
      </c>
      <c r="C59" s="3"/>
      <c r="D59" s="6"/>
      <c r="E59" s="6">
        <f>C59+B59-D59</f>
        <v>0</v>
      </c>
      <c r="F59" s="15"/>
      <c r="G59" s="17" t="e">
        <f>F59/B59</f>
        <v>#DIV/0!</v>
      </c>
      <c r="H59" s="6">
        <f>F59+E59</f>
        <v>0</v>
      </c>
      <c r="I59" s="56"/>
    </row>
    <row r="60" spans="1:10" ht="15" thickBot="1" x14ac:dyDescent="0.35">
      <c r="A60" s="103"/>
      <c r="B60" s="6">
        <f>H54</f>
        <v>0</v>
      </c>
      <c r="C60" s="3"/>
      <c r="D60" s="6"/>
      <c r="E60" s="6">
        <f>C60+B60-D60</f>
        <v>0</v>
      </c>
      <c r="F60" s="15"/>
      <c r="G60" s="17" t="e">
        <f>F60/B60</f>
        <v>#DIV/0!</v>
      </c>
      <c r="H60" s="6">
        <f>F60+E60</f>
        <v>0</v>
      </c>
    </row>
    <row r="61" spans="1:10" ht="15" thickBot="1" x14ac:dyDescent="0.35">
      <c r="A61" s="9" t="s">
        <v>6</v>
      </c>
      <c r="B61" s="36">
        <f>SUM(B58:B60)</f>
        <v>1300989.1200000001</v>
      </c>
      <c r="C61" s="36">
        <f t="shared" ref="C61:H61" si="9">SUM(C58:C60)</f>
        <v>0</v>
      </c>
      <c r="D61" s="36">
        <f t="shared" si="9"/>
        <v>0</v>
      </c>
      <c r="E61" s="36">
        <f t="shared" si="9"/>
        <v>1300989.1200000001</v>
      </c>
      <c r="F61" s="36">
        <f t="shared" si="9"/>
        <v>0</v>
      </c>
      <c r="G61" s="36" t="e">
        <f t="shared" si="9"/>
        <v>#DIV/0!</v>
      </c>
      <c r="H61" s="36">
        <f t="shared" si="9"/>
        <v>1300989.1200000001</v>
      </c>
    </row>
    <row r="62" spans="1:10" ht="15" thickBot="1" x14ac:dyDescent="0.35"/>
    <row r="63" spans="1:10" ht="29.4" thickBot="1" x14ac:dyDescent="0.35">
      <c r="A63" s="44">
        <v>46327</v>
      </c>
      <c r="B63" s="45" t="s">
        <v>4</v>
      </c>
      <c r="C63" s="45" t="s">
        <v>0</v>
      </c>
      <c r="D63" s="45" t="s">
        <v>5</v>
      </c>
      <c r="E63" s="46" t="s">
        <v>8</v>
      </c>
      <c r="F63" s="47" t="s">
        <v>10</v>
      </c>
      <c r="G63" s="48" t="s">
        <v>9</v>
      </c>
      <c r="H63" s="46" t="s">
        <v>54</v>
      </c>
    </row>
    <row r="64" spans="1:10" ht="15" thickBot="1" x14ac:dyDescent="0.35">
      <c r="A64" s="49" t="s">
        <v>21</v>
      </c>
      <c r="B64" s="6">
        <f>H58</f>
        <v>1300989.1200000001</v>
      </c>
      <c r="C64" s="6"/>
      <c r="D64" s="6"/>
      <c r="E64" s="6">
        <f>C64+B64-D64</f>
        <v>1300989.1200000001</v>
      </c>
      <c r="F64" s="15"/>
      <c r="G64" s="17">
        <f>F64/B64</f>
        <v>0</v>
      </c>
      <c r="H64" s="6">
        <f>F64+E64</f>
        <v>1300989.1200000001</v>
      </c>
    </row>
    <row r="65" spans="1:10" ht="15" thickBot="1" x14ac:dyDescent="0.35">
      <c r="A65" s="50" t="s">
        <v>35</v>
      </c>
      <c r="B65" s="6">
        <f>H59</f>
        <v>0</v>
      </c>
      <c r="C65" s="3"/>
      <c r="D65" s="6"/>
      <c r="E65" s="6">
        <f>C65+B65-D65</f>
        <v>0</v>
      </c>
      <c r="F65" s="15"/>
      <c r="G65" s="17" t="e">
        <f>F65/B65</f>
        <v>#DIV/0!</v>
      </c>
      <c r="H65" s="6">
        <f>F65+E65</f>
        <v>0</v>
      </c>
      <c r="I65" s="56"/>
    </row>
    <row r="66" spans="1:10" ht="15" thickBot="1" x14ac:dyDescent="0.35">
      <c r="A66" s="103"/>
      <c r="B66" s="6">
        <f>H60</f>
        <v>0</v>
      </c>
      <c r="C66" s="3"/>
      <c r="D66" s="6"/>
      <c r="E66" s="6">
        <f>C66+B66-D66</f>
        <v>0</v>
      </c>
      <c r="F66" s="15"/>
      <c r="G66" s="17" t="e">
        <f>F66/B66</f>
        <v>#DIV/0!</v>
      </c>
      <c r="H66" s="6">
        <f>F66+E66</f>
        <v>0</v>
      </c>
    </row>
    <row r="67" spans="1:10" ht="15" thickBot="1" x14ac:dyDescent="0.35">
      <c r="A67" s="9" t="s">
        <v>6</v>
      </c>
      <c r="B67" s="36">
        <f>SUM(B64:B66)</f>
        <v>1300989.1200000001</v>
      </c>
      <c r="C67" s="36">
        <f t="shared" ref="C67:H67" si="10">SUM(C64:C66)</f>
        <v>0</v>
      </c>
      <c r="D67" s="36">
        <f t="shared" si="10"/>
        <v>0</v>
      </c>
      <c r="E67" s="36">
        <f t="shared" si="10"/>
        <v>1300989.1200000001</v>
      </c>
      <c r="F67" s="36">
        <f t="shared" si="10"/>
        <v>0</v>
      </c>
      <c r="G67" s="36" t="e">
        <f t="shared" si="10"/>
        <v>#DIV/0!</v>
      </c>
      <c r="H67" s="36">
        <f t="shared" si="10"/>
        <v>1300989.1200000001</v>
      </c>
    </row>
    <row r="68" spans="1:10" ht="29.4" thickBot="1" x14ac:dyDescent="0.35">
      <c r="A68" s="44">
        <v>46357</v>
      </c>
      <c r="B68" s="45" t="s">
        <v>4</v>
      </c>
      <c r="C68" s="45" t="s">
        <v>0</v>
      </c>
      <c r="D68" s="45" t="s">
        <v>5</v>
      </c>
      <c r="E68" s="46" t="s">
        <v>8</v>
      </c>
      <c r="F68" s="47" t="s">
        <v>10</v>
      </c>
      <c r="G68" s="48" t="s">
        <v>9</v>
      </c>
      <c r="H68" s="46" t="s">
        <v>55</v>
      </c>
    </row>
    <row r="69" spans="1:10" ht="15" thickBot="1" x14ac:dyDescent="0.35">
      <c r="A69" s="49" t="s">
        <v>21</v>
      </c>
      <c r="B69" s="6">
        <f>H64</f>
        <v>1300989.1200000001</v>
      </c>
      <c r="C69" s="6"/>
      <c r="D69" s="6"/>
      <c r="E69" s="6">
        <f>C69+B69-D69</f>
        <v>1300989.1200000001</v>
      </c>
      <c r="F69" s="15"/>
      <c r="G69" s="17">
        <f>F69/B69</f>
        <v>0</v>
      </c>
      <c r="H69" s="6">
        <f>F69+E69</f>
        <v>1300989.1200000001</v>
      </c>
    </row>
    <row r="70" spans="1:10" ht="15" thickBot="1" x14ac:dyDescent="0.35">
      <c r="A70" s="50"/>
      <c r="B70" s="6">
        <f>H64</f>
        <v>1300989.1200000001</v>
      </c>
      <c r="C70" s="3"/>
      <c r="D70" s="6"/>
      <c r="E70" s="6">
        <f>C70+B70-D70</f>
        <v>1300989.1200000001</v>
      </c>
      <c r="F70" s="15"/>
      <c r="G70" s="17">
        <f>F70/B70</f>
        <v>0</v>
      </c>
      <c r="H70" s="6">
        <f>F70+E70</f>
        <v>1300989.1200000001</v>
      </c>
    </row>
    <row r="71" spans="1:10" ht="15" thickBot="1" x14ac:dyDescent="0.35">
      <c r="A71" s="50" t="s">
        <v>35</v>
      </c>
      <c r="B71" s="6">
        <f>H65</f>
        <v>0</v>
      </c>
      <c r="C71" s="3"/>
      <c r="D71" s="6"/>
      <c r="E71" s="6">
        <f>C71+B71-D71</f>
        <v>0</v>
      </c>
      <c r="F71" s="15"/>
      <c r="G71" s="17" t="e">
        <f>F71/B71</f>
        <v>#DIV/0!</v>
      </c>
      <c r="H71" s="6">
        <f>F71+E71</f>
        <v>0</v>
      </c>
      <c r="J71" s="56"/>
    </row>
    <row r="72" spans="1:10" ht="15" thickBot="1" x14ac:dyDescent="0.35">
      <c r="A72" s="9" t="s">
        <v>6</v>
      </c>
      <c r="B72" s="36">
        <f>SUM(B69:B71)</f>
        <v>2601978.2400000002</v>
      </c>
      <c r="C72" s="36">
        <f t="shared" ref="C72:H72" si="11">SUM(C69:C71)</f>
        <v>0</v>
      </c>
      <c r="D72" s="36">
        <f t="shared" si="11"/>
        <v>0</v>
      </c>
      <c r="E72" s="36">
        <f t="shared" si="11"/>
        <v>2601978.2400000002</v>
      </c>
      <c r="F72" s="36">
        <f t="shared" si="11"/>
        <v>0</v>
      </c>
      <c r="G72" s="36" t="e">
        <f t="shared" si="11"/>
        <v>#DIV/0!</v>
      </c>
      <c r="H72" s="36">
        <f t="shared" si="11"/>
        <v>2601978.2400000002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8DCD-AD9E-4CF7-9A61-C4CC46CAB813}">
  <sheetPr>
    <tabColor theme="2" tint="-0.499984740745262"/>
  </sheetPr>
  <dimension ref="A2:K73"/>
  <sheetViews>
    <sheetView topLeftCell="A5" workbookViewId="0">
      <selection activeCell="J14" sqref="J14"/>
    </sheetView>
  </sheetViews>
  <sheetFormatPr defaultRowHeight="14.4" x14ac:dyDescent="0.3"/>
  <cols>
    <col min="1" max="1" width="15.77734375" style="1" customWidth="1"/>
    <col min="2" max="2" width="15.109375" style="1" customWidth="1"/>
    <col min="3" max="3" width="12.5546875" style="1" bestFit="1" customWidth="1"/>
    <col min="4" max="4" width="14.21875" style="1" bestFit="1" customWidth="1"/>
    <col min="5" max="5" width="15.21875" style="1" bestFit="1" customWidth="1"/>
    <col min="6" max="6" width="15.44140625" style="14" customWidth="1"/>
    <col min="7" max="7" width="14.21875" style="16" customWidth="1"/>
    <col min="8" max="8" width="14.33203125" style="1" bestFit="1" customWidth="1"/>
    <col min="9" max="9" width="14.88671875" bestFit="1" customWidth="1"/>
    <col min="10" max="10" width="21.6640625" customWidth="1"/>
    <col min="11" max="11" width="12.5546875" bestFit="1" customWidth="1"/>
  </cols>
  <sheetData>
    <row r="2" spans="1:10" ht="15" thickBot="1" x14ac:dyDescent="0.35"/>
    <row r="3" spans="1:10" ht="29.4" thickBot="1" x14ac:dyDescent="0.35">
      <c r="A3" s="69">
        <v>46023</v>
      </c>
      <c r="B3" s="109" t="s">
        <v>4</v>
      </c>
      <c r="C3" s="109" t="s">
        <v>0</v>
      </c>
      <c r="D3" s="109" t="s">
        <v>5</v>
      </c>
      <c r="E3" s="110" t="s">
        <v>8</v>
      </c>
      <c r="F3" s="111" t="s">
        <v>10</v>
      </c>
      <c r="G3" s="112" t="s">
        <v>9</v>
      </c>
      <c r="H3" s="113">
        <v>46052</v>
      </c>
    </row>
    <row r="4" spans="1:10" ht="15" thickBot="1" x14ac:dyDescent="0.35">
      <c r="A4" s="108" t="s">
        <v>24</v>
      </c>
      <c r="B4" s="3">
        <v>1400531.1</v>
      </c>
      <c r="C4" s="3"/>
      <c r="D4" s="3">
        <v>30255.040000000001</v>
      </c>
      <c r="E4" s="3">
        <f>C4+B4-D4</f>
        <v>1370276.06</v>
      </c>
      <c r="F4" s="100">
        <v>18987.14</v>
      </c>
      <c r="G4" s="101">
        <f>IFERROR(F4/B4,0)</f>
        <v>1.3557099874469049E-2</v>
      </c>
      <c r="H4" s="3">
        <f>F4+E4</f>
        <v>1389263.2</v>
      </c>
      <c r="I4" s="56"/>
      <c r="J4" s="56"/>
    </row>
    <row r="5" spans="1:10" ht="15" thickBot="1" x14ac:dyDescent="0.35">
      <c r="A5" s="74" t="s">
        <v>26</v>
      </c>
      <c r="B5" s="3">
        <v>117520.94</v>
      </c>
      <c r="C5" s="3"/>
      <c r="D5" s="3"/>
      <c r="E5" s="3">
        <f>C5+B5-D5</f>
        <v>117520.94</v>
      </c>
      <c r="F5" s="100">
        <v>1488.36</v>
      </c>
      <c r="G5" s="101">
        <f>IFERROR(F5/B5,0)</f>
        <v>1.2664636617099895E-2</v>
      </c>
      <c r="H5" s="3">
        <f>F5+E5</f>
        <v>119009.3</v>
      </c>
      <c r="I5" s="56"/>
      <c r="J5" s="56"/>
    </row>
    <row r="6" spans="1:10" ht="15" thickBot="1" x14ac:dyDescent="0.35">
      <c r="A6" s="108"/>
      <c r="B6" s="3"/>
      <c r="C6" s="3"/>
      <c r="D6" s="3"/>
      <c r="E6" s="3">
        <f>C6+B6-D6</f>
        <v>0</v>
      </c>
      <c r="F6" s="100"/>
      <c r="G6" s="101">
        <f>IFERROR(F6/B6,0)</f>
        <v>0</v>
      </c>
      <c r="H6" s="3">
        <f>F6+E6</f>
        <v>0</v>
      </c>
    </row>
    <row r="7" spans="1:10" ht="15" thickBot="1" x14ac:dyDescent="0.35">
      <c r="A7" s="9" t="s">
        <v>6</v>
      </c>
      <c r="B7" s="99">
        <f>SUM(B4:B6)</f>
        <v>1518052.04</v>
      </c>
      <c r="C7" s="99">
        <f t="shared" ref="C7:H7" si="0">SUM(C4:C6)</f>
        <v>0</v>
      </c>
      <c r="D7" s="99">
        <f t="shared" si="0"/>
        <v>30255.040000000001</v>
      </c>
      <c r="E7" s="99">
        <f t="shared" si="0"/>
        <v>1487797</v>
      </c>
      <c r="F7" s="99">
        <f t="shared" si="0"/>
        <v>20475.5</v>
      </c>
      <c r="G7" s="135">
        <f>AVERAGE(G4:G5)</f>
        <v>1.3110868245784472E-2</v>
      </c>
      <c r="H7" s="99">
        <f t="shared" si="0"/>
        <v>1508272.5</v>
      </c>
    </row>
    <row r="8" spans="1:10" ht="15" thickBot="1" x14ac:dyDescent="0.35"/>
    <row r="9" spans="1:10" ht="29.4" thickBot="1" x14ac:dyDescent="0.35">
      <c r="A9" s="69">
        <v>46054</v>
      </c>
      <c r="B9" s="70" t="s">
        <v>4</v>
      </c>
      <c r="C9" s="70" t="s">
        <v>0</v>
      </c>
      <c r="D9" s="70" t="s">
        <v>5</v>
      </c>
      <c r="E9" s="71" t="s">
        <v>8</v>
      </c>
      <c r="F9" s="72" t="s">
        <v>10</v>
      </c>
      <c r="G9" s="73" t="s">
        <v>9</v>
      </c>
      <c r="H9" s="75">
        <v>46081</v>
      </c>
    </row>
    <row r="10" spans="1:10" ht="15" thickBot="1" x14ac:dyDescent="0.35">
      <c r="A10" s="74" t="s">
        <v>24</v>
      </c>
      <c r="B10" s="6">
        <f>H4</f>
        <v>1389263.2</v>
      </c>
      <c r="C10" s="6"/>
      <c r="D10" s="6">
        <f>20000+132000+12000</f>
        <v>164000</v>
      </c>
      <c r="E10" s="6">
        <f>C10+B10-D10</f>
        <v>1225263.2</v>
      </c>
      <c r="F10" s="15">
        <v>10488.27</v>
      </c>
      <c r="G10" s="17">
        <f>IFERROR(F10/B10,0)</f>
        <v>7.5495197742227686E-3</v>
      </c>
      <c r="H10" s="6">
        <f>F10+E10</f>
        <v>1235751.47</v>
      </c>
      <c r="I10" s="56"/>
      <c r="J10" s="56"/>
    </row>
    <row r="11" spans="1:10" ht="15" thickBot="1" x14ac:dyDescent="0.35">
      <c r="A11" s="74" t="s">
        <v>26</v>
      </c>
      <c r="B11" s="8">
        <f>H5</f>
        <v>119009.3</v>
      </c>
      <c r="C11" s="8"/>
      <c r="D11" s="6"/>
      <c r="E11" s="6">
        <f>C11+B11-D11</f>
        <v>119009.3</v>
      </c>
      <c r="F11" s="15">
        <v>1437.2</v>
      </c>
      <c r="G11" s="17">
        <f>IFERROR(F11/B11,0)</f>
        <v>1.2076367141055363E-2</v>
      </c>
      <c r="H11" s="6">
        <f>F11+E11</f>
        <v>120446.5</v>
      </c>
      <c r="I11" s="56"/>
      <c r="J11" s="56"/>
    </row>
    <row r="12" spans="1:10" ht="15" thickBot="1" x14ac:dyDescent="0.35">
      <c r="A12" s="108"/>
      <c r="B12" s="8">
        <f>H6</f>
        <v>0</v>
      </c>
      <c r="C12" s="8"/>
      <c r="D12" s="6"/>
      <c r="E12" s="6">
        <f>C12+B12-D12</f>
        <v>0</v>
      </c>
      <c r="F12" s="15"/>
      <c r="G12" s="17">
        <f>IFERROR(F12/B12,0)</f>
        <v>0</v>
      </c>
      <c r="H12" s="6">
        <f>F12+E12</f>
        <v>0</v>
      </c>
    </row>
    <row r="13" spans="1:10" ht="15" thickBot="1" x14ac:dyDescent="0.35">
      <c r="A13" s="9" t="s">
        <v>6</v>
      </c>
      <c r="B13" s="36">
        <f>SUM(B10:B12)</f>
        <v>1508272.5</v>
      </c>
      <c r="C13" s="36">
        <f t="shared" ref="C13:H13" si="1">SUM(C10:C12)</f>
        <v>0</v>
      </c>
      <c r="D13" s="36">
        <f t="shared" si="1"/>
        <v>164000</v>
      </c>
      <c r="E13" s="36">
        <f t="shared" si="1"/>
        <v>1344272.5</v>
      </c>
      <c r="F13" s="36">
        <f t="shared" si="1"/>
        <v>11925.470000000001</v>
      </c>
      <c r="G13" s="135">
        <f>AVERAGE(G10:G11)</f>
        <v>9.8129434576390666E-3</v>
      </c>
      <c r="H13" s="36">
        <f t="shared" si="1"/>
        <v>1356197.97</v>
      </c>
    </row>
    <row r="14" spans="1:10" ht="15" thickBot="1" x14ac:dyDescent="0.35"/>
    <row r="15" spans="1:10" ht="29.4" thickBot="1" x14ac:dyDescent="0.35">
      <c r="A15" s="69">
        <v>46082</v>
      </c>
      <c r="B15" s="70" t="s">
        <v>4</v>
      </c>
      <c r="C15" s="70" t="s">
        <v>0</v>
      </c>
      <c r="D15" s="70" t="s">
        <v>5</v>
      </c>
      <c r="E15" s="71" t="s">
        <v>8</v>
      </c>
      <c r="F15" s="72" t="s">
        <v>10</v>
      </c>
      <c r="G15" s="73" t="s">
        <v>9</v>
      </c>
      <c r="H15" s="75">
        <v>46111</v>
      </c>
    </row>
    <row r="16" spans="1:10" ht="15" thickBot="1" x14ac:dyDescent="0.35">
      <c r="A16" s="74" t="s">
        <v>24</v>
      </c>
      <c r="B16" s="6">
        <f>H10</f>
        <v>1235751.47</v>
      </c>
      <c r="C16" s="6"/>
      <c r="D16" s="6">
        <v>341236.02</v>
      </c>
      <c r="E16" s="6">
        <f>C16+B16-D16</f>
        <v>894515.45</v>
      </c>
      <c r="F16" s="15"/>
      <c r="G16" s="17">
        <f>IFERROR(F16/B16,0)</f>
        <v>0</v>
      </c>
      <c r="H16" s="6">
        <f>F16+E16</f>
        <v>894515.45</v>
      </c>
      <c r="I16" s="56"/>
    </row>
    <row r="17" spans="1:11" ht="15" thickBot="1" x14ac:dyDescent="0.35">
      <c r="A17" s="74" t="s">
        <v>26</v>
      </c>
      <c r="B17" s="8">
        <f>H11</f>
        <v>120446.5</v>
      </c>
      <c r="C17" s="8"/>
      <c r="D17" s="6">
        <v>59139.72</v>
      </c>
      <c r="E17" s="6">
        <f>C17+B17-D17</f>
        <v>61306.78</v>
      </c>
      <c r="F17" s="15"/>
      <c r="G17" s="17">
        <f>IFERROR(F17/B17,0)</f>
        <v>0</v>
      </c>
      <c r="H17" s="6">
        <f>F17+E17</f>
        <v>61306.78</v>
      </c>
      <c r="I17" s="56"/>
      <c r="J17" s="56"/>
    </row>
    <row r="18" spans="1:11" ht="15" thickBot="1" x14ac:dyDescent="0.35">
      <c r="A18" s="108"/>
      <c r="B18" s="8">
        <f>H12</f>
        <v>0</v>
      </c>
      <c r="C18" s="8"/>
      <c r="D18" s="6"/>
      <c r="E18" s="6">
        <f>C18+B18-D18</f>
        <v>0</v>
      </c>
      <c r="F18" s="15"/>
      <c r="G18" s="17">
        <f>IFERROR(F18/B18,0)</f>
        <v>0</v>
      </c>
      <c r="H18" s="6">
        <f>F18+E18</f>
        <v>0</v>
      </c>
      <c r="J18" s="56"/>
    </row>
    <row r="19" spans="1:11" ht="15" thickBot="1" x14ac:dyDescent="0.35">
      <c r="A19" s="9" t="s">
        <v>6</v>
      </c>
      <c r="B19" s="36">
        <f>SUM(B16:B18)</f>
        <v>1356197.97</v>
      </c>
      <c r="C19" s="36">
        <f t="shared" ref="C19:H19" si="2">SUM(C16:C18)</f>
        <v>0</v>
      </c>
      <c r="D19" s="36">
        <f t="shared" si="2"/>
        <v>400375.74</v>
      </c>
      <c r="E19" s="36">
        <f t="shared" si="2"/>
        <v>955822.23</v>
      </c>
      <c r="F19" s="36">
        <f t="shared" si="2"/>
        <v>0</v>
      </c>
      <c r="G19" s="36">
        <f t="shared" si="2"/>
        <v>0</v>
      </c>
      <c r="H19" s="36">
        <f t="shared" si="2"/>
        <v>955822.23</v>
      </c>
    </row>
    <row r="20" spans="1:11" ht="15" thickBot="1" x14ac:dyDescent="0.35"/>
    <row r="21" spans="1:11" ht="29.4" thickBot="1" x14ac:dyDescent="0.35">
      <c r="A21" s="69">
        <v>46113</v>
      </c>
      <c r="B21" s="70" t="s">
        <v>4</v>
      </c>
      <c r="C21" s="70" t="s">
        <v>0</v>
      </c>
      <c r="D21" s="70" t="s">
        <v>5</v>
      </c>
      <c r="E21" s="71" t="s">
        <v>8</v>
      </c>
      <c r="F21" s="72" t="s">
        <v>10</v>
      </c>
      <c r="G21" s="73" t="s">
        <v>9</v>
      </c>
      <c r="H21" s="75">
        <v>46142</v>
      </c>
    </row>
    <row r="22" spans="1:11" ht="15" thickBot="1" x14ac:dyDescent="0.35">
      <c r="A22" s="74" t="s">
        <v>24</v>
      </c>
      <c r="B22" s="6">
        <f>H16</f>
        <v>894515.45</v>
      </c>
      <c r="C22" s="6"/>
      <c r="D22" s="6"/>
      <c r="E22" s="6">
        <f>C22+B22-D22</f>
        <v>894515.45</v>
      </c>
      <c r="F22" s="15"/>
      <c r="G22" s="17">
        <f>IFERROR(F22/B22,0)</f>
        <v>0</v>
      </c>
      <c r="H22" s="6">
        <f>F22+E22</f>
        <v>894515.45</v>
      </c>
      <c r="I22" s="56"/>
      <c r="J22" s="56"/>
      <c r="K22" s="56"/>
    </row>
    <row r="23" spans="1:11" ht="15" thickBot="1" x14ac:dyDescent="0.35">
      <c r="A23" s="74" t="s">
        <v>26</v>
      </c>
      <c r="B23" s="8">
        <f>H17</f>
        <v>61306.78</v>
      </c>
      <c r="C23" s="8"/>
      <c r="D23" s="6"/>
      <c r="E23" s="6">
        <f>C23+B23-D23</f>
        <v>61306.78</v>
      </c>
      <c r="F23" s="15"/>
      <c r="G23" s="17">
        <f>IFERROR(F23/B23,0)</f>
        <v>0</v>
      </c>
      <c r="H23" s="6">
        <f>F23+E23</f>
        <v>61306.78</v>
      </c>
      <c r="I23" s="56"/>
    </row>
    <row r="24" spans="1:11" ht="15" thickBot="1" x14ac:dyDescent="0.35">
      <c r="A24" s="108"/>
      <c r="B24" s="8">
        <f>H18</f>
        <v>0</v>
      </c>
      <c r="C24" s="8"/>
      <c r="D24" s="6"/>
      <c r="E24" s="6">
        <f>C24+B24-D24</f>
        <v>0</v>
      </c>
      <c r="F24" s="15"/>
      <c r="G24" s="17">
        <f>IFERROR(F24/B24,0)</f>
        <v>0</v>
      </c>
      <c r="H24" s="6">
        <f>F24+E24</f>
        <v>0</v>
      </c>
    </row>
    <row r="25" spans="1:11" ht="15" thickBot="1" x14ac:dyDescent="0.35">
      <c r="A25" s="9" t="s">
        <v>6</v>
      </c>
      <c r="B25" s="36">
        <f>SUM(B22:B24)</f>
        <v>955822.23</v>
      </c>
      <c r="C25" s="36">
        <f t="shared" ref="C25:H25" si="3">SUM(C22:C24)</f>
        <v>0</v>
      </c>
      <c r="D25" s="36">
        <f t="shared" si="3"/>
        <v>0</v>
      </c>
      <c r="E25" s="36">
        <f t="shared" si="3"/>
        <v>955822.23</v>
      </c>
      <c r="F25" s="36">
        <f t="shared" si="3"/>
        <v>0</v>
      </c>
      <c r="G25" s="36">
        <f t="shared" si="3"/>
        <v>0</v>
      </c>
      <c r="H25" s="36">
        <f t="shared" si="3"/>
        <v>955822.23</v>
      </c>
    </row>
    <row r="26" spans="1:11" ht="15" thickBot="1" x14ac:dyDescent="0.35"/>
    <row r="27" spans="1:11" ht="29.4" thickBot="1" x14ac:dyDescent="0.35">
      <c r="A27" s="69">
        <v>46143</v>
      </c>
      <c r="B27" s="70" t="s">
        <v>4</v>
      </c>
      <c r="C27" s="70" t="s">
        <v>0</v>
      </c>
      <c r="D27" s="70" t="s">
        <v>5</v>
      </c>
      <c r="E27" s="71" t="s">
        <v>8</v>
      </c>
      <c r="F27" s="72" t="s">
        <v>10</v>
      </c>
      <c r="G27" s="73" t="s">
        <v>9</v>
      </c>
      <c r="H27" s="75">
        <v>46172</v>
      </c>
    </row>
    <row r="28" spans="1:11" ht="15" thickBot="1" x14ac:dyDescent="0.35">
      <c r="A28" s="74" t="s">
        <v>2</v>
      </c>
      <c r="B28" s="6">
        <f>H22</f>
        <v>894515.45</v>
      </c>
      <c r="C28" s="6"/>
      <c r="D28" s="6"/>
      <c r="E28" s="6">
        <f>C28+B28-D28</f>
        <v>894515.45</v>
      </c>
      <c r="F28" s="15"/>
      <c r="G28" s="17">
        <f>IFERROR(F28/B28,0)</f>
        <v>0</v>
      </c>
      <c r="H28" s="6">
        <f>F28+E28</f>
        <v>894515.45</v>
      </c>
      <c r="J28" s="56"/>
    </row>
    <row r="29" spans="1:11" ht="15" thickBot="1" x14ac:dyDescent="0.35">
      <c r="A29" s="74" t="s">
        <v>26</v>
      </c>
      <c r="B29" s="6">
        <f>H23</f>
        <v>61306.78</v>
      </c>
      <c r="C29" s="6"/>
      <c r="D29" s="6"/>
      <c r="E29" s="6">
        <f>C29+B29-D29</f>
        <v>61306.78</v>
      </c>
      <c r="F29" s="15"/>
      <c r="G29" s="17">
        <f>IFERROR(F29/B29,0)</f>
        <v>0</v>
      </c>
      <c r="H29" s="6">
        <f>F29+E29</f>
        <v>61306.78</v>
      </c>
      <c r="J29" s="56"/>
    </row>
    <row r="30" spans="1:11" ht="15" thickBot="1" x14ac:dyDescent="0.35">
      <c r="A30" s="108"/>
      <c r="B30" s="6">
        <f>H24</f>
        <v>0</v>
      </c>
      <c r="C30" s="6"/>
      <c r="D30" s="6"/>
      <c r="E30" s="6">
        <f>C30+B30-D30</f>
        <v>0</v>
      </c>
      <c r="F30" s="15"/>
      <c r="G30" s="17">
        <f>IFERROR(F30/B30,0)</f>
        <v>0</v>
      </c>
      <c r="H30" s="6">
        <f>F30+E30</f>
        <v>0</v>
      </c>
    </row>
    <row r="31" spans="1:11" ht="15" thickBot="1" x14ac:dyDescent="0.35">
      <c r="A31" s="9" t="s">
        <v>6</v>
      </c>
      <c r="B31" s="36">
        <f>SUM(B28:B30)</f>
        <v>955822.23</v>
      </c>
      <c r="C31" s="36">
        <f t="shared" ref="C31:H31" si="4">SUM(C28:C30)</f>
        <v>0</v>
      </c>
      <c r="D31" s="36">
        <f t="shared" si="4"/>
        <v>0</v>
      </c>
      <c r="E31" s="36">
        <f t="shared" si="4"/>
        <v>955822.23</v>
      </c>
      <c r="F31" s="36">
        <f t="shared" si="4"/>
        <v>0</v>
      </c>
      <c r="G31" s="36">
        <f t="shared" si="4"/>
        <v>0</v>
      </c>
      <c r="H31" s="36">
        <f t="shared" si="4"/>
        <v>955822.23</v>
      </c>
    </row>
    <row r="32" spans="1:11" ht="15" thickBot="1" x14ac:dyDescent="0.35"/>
    <row r="33" spans="1:10" ht="29.4" thickBot="1" x14ac:dyDescent="0.35">
      <c r="A33" s="69">
        <v>46174</v>
      </c>
      <c r="B33" s="70" t="s">
        <v>4</v>
      </c>
      <c r="C33" s="70" t="s">
        <v>0</v>
      </c>
      <c r="D33" s="70" t="s">
        <v>5</v>
      </c>
      <c r="E33" s="71" t="s">
        <v>8</v>
      </c>
      <c r="F33" s="72" t="s">
        <v>10</v>
      </c>
      <c r="G33" s="73" t="s">
        <v>9</v>
      </c>
      <c r="H33" s="75">
        <v>46203</v>
      </c>
    </row>
    <row r="34" spans="1:10" ht="15" thickBot="1" x14ac:dyDescent="0.35">
      <c r="A34" s="74" t="s">
        <v>24</v>
      </c>
      <c r="B34" s="6">
        <f>H28</f>
        <v>894515.45</v>
      </c>
      <c r="C34" s="6"/>
      <c r="D34" s="6"/>
      <c r="E34" s="6">
        <f>C34+B34-D34</f>
        <v>894515.45</v>
      </c>
      <c r="F34" s="15"/>
      <c r="G34" s="17">
        <f>IFERROR(F34/B34,0)</f>
        <v>0</v>
      </c>
      <c r="H34" s="6">
        <f>F34+E34</f>
        <v>894515.45</v>
      </c>
      <c r="I34" s="56"/>
      <c r="J34" s="56"/>
    </row>
    <row r="35" spans="1:10" ht="15" thickBot="1" x14ac:dyDescent="0.35">
      <c r="A35" s="74" t="s">
        <v>26</v>
      </c>
      <c r="B35" s="8">
        <f>H29</f>
        <v>61306.78</v>
      </c>
      <c r="C35" s="8"/>
      <c r="D35" s="6"/>
      <c r="E35" s="6">
        <f>C35+B35-D35</f>
        <v>61306.78</v>
      </c>
      <c r="F35" s="15"/>
      <c r="G35" s="17">
        <f>IFERROR(F35/B35,0)</f>
        <v>0</v>
      </c>
      <c r="H35" s="6">
        <f>F35+E35</f>
        <v>61306.78</v>
      </c>
      <c r="J35" s="56"/>
    </row>
    <row r="36" spans="1:10" ht="15" thickBot="1" x14ac:dyDescent="0.35">
      <c r="A36" s="108"/>
      <c r="B36" s="8">
        <f>H30</f>
        <v>0</v>
      </c>
      <c r="C36" s="8"/>
      <c r="D36" s="6"/>
      <c r="E36" s="6">
        <f>C36+B36-D36</f>
        <v>0</v>
      </c>
      <c r="F36" s="15"/>
      <c r="G36" s="17">
        <f>IFERROR(F36/B36,0)</f>
        <v>0</v>
      </c>
      <c r="H36" s="6">
        <f>F36+E36</f>
        <v>0</v>
      </c>
    </row>
    <row r="37" spans="1:10" ht="15" thickBot="1" x14ac:dyDescent="0.35">
      <c r="A37" s="9" t="s">
        <v>6</v>
      </c>
      <c r="B37" s="36">
        <f>SUM(B34:B36)</f>
        <v>955822.23</v>
      </c>
      <c r="C37" s="36">
        <f t="shared" ref="C37:H37" si="5">SUM(C34:C36)</f>
        <v>0</v>
      </c>
      <c r="D37" s="36">
        <f t="shared" si="5"/>
        <v>0</v>
      </c>
      <c r="E37" s="36">
        <f t="shared" si="5"/>
        <v>955822.23</v>
      </c>
      <c r="F37" s="36">
        <f t="shared" si="5"/>
        <v>0</v>
      </c>
      <c r="G37" s="36">
        <f t="shared" si="5"/>
        <v>0</v>
      </c>
      <c r="H37" s="36">
        <f t="shared" si="5"/>
        <v>955822.23</v>
      </c>
    </row>
    <row r="38" spans="1:10" ht="15" thickBot="1" x14ac:dyDescent="0.35"/>
    <row r="39" spans="1:10" ht="29.4" thickBot="1" x14ac:dyDescent="0.35">
      <c r="A39" s="69">
        <v>46204</v>
      </c>
      <c r="B39" s="70" t="s">
        <v>4</v>
      </c>
      <c r="C39" s="70" t="s">
        <v>0</v>
      </c>
      <c r="D39" s="70" t="s">
        <v>5</v>
      </c>
      <c r="E39" s="71" t="s">
        <v>8</v>
      </c>
      <c r="F39" s="72" t="s">
        <v>10</v>
      </c>
      <c r="G39" s="73" t="s">
        <v>9</v>
      </c>
      <c r="H39" s="75">
        <v>46233</v>
      </c>
    </row>
    <row r="40" spans="1:10" ht="15" thickBot="1" x14ac:dyDescent="0.35">
      <c r="A40" s="74" t="s">
        <v>24</v>
      </c>
      <c r="B40" s="6">
        <f>H34</f>
        <v>894515.45</v>
      </c>
      <c r="C40" s="6"/>
      <c r="D40" s="6"/>
      <c r="E40" s="6">
        <f>C40+B40-D40</f>
        <v>894515.45</v>
      </c>
      <c r="F40" s="15"/>
      <c r="G40" s="17">
        <f>IFERROR(F40/B40,0)</f>
        <v>0</v>
      </c>
      <c r="H40" s="6">
        <f>F40+E40</f>
        <v>894515.45</v>
      </c>
      <c r="J40" s="56"/>
    </row>
    <row r="41" spans="1:10" ht="15" thickBot="1" x14ac:dyDescent="0.35">
      <c r="A41" s="74" t="s">
        <v>26</v>
      </c>
      <c r="B41" s="8">
        <f>H35</f>
        <v>61306.78</v>
      </c>
      <c r="C41" s="8"/>
      <c r="D41" s="6"/>
      <c r="E41" s="6">
        <f>C41+B41-D41</f>
        <v>61306.78</v>
      </c>
      <c r="F41" s="15"/>
      <c r="G41" s="17">
        <f>IFERROR(F41/B41,0)</f>
        <v>0</v>
      </c>
      <c r="H41" s="6">
        <f>F41+E41</f>
        <v>61306.78</v>
      </c>
      <c r="J41" s="56"/>
    </row>
    <row r="42" spans="1:10" ht="15" thickBot="1" x14ac:dyDescent="0.35">
      <c r="A42" s="108"/>
      <c r="B42" s="8">
        <f>H36</f>
        <v>0</v>
      </c>
      <c r="C42" s="8"/>
      <c r="D42" s="6"/>
      <c r="E42" s="6">
        <f>C42+B42-D42</f>
        <v>0</v>
      </c>
      <c r="F42" s="15"/>
      <c r="G42" s="17">
        <f>IFERROR(F42/B42,0)</f>
        <v>0</v>
      </c>
      <c r="H42" s="6">
        <f>F42+E42</f>
        <v>0</v>
      </c>
    </row>
    <row r="43" spans="1:10" ht="15" thickBot="1" x14ac:dyDescent="0.35">
      <c r="A43" s="9" t="s">
        <v>6</v>
      </c>
      <c r="B43" s="36">
        <f>SUM(B40:B42)</f>
        <v>955822.23</v>
      </c>
      <c r="C43" s="36">
        <f t="shared" ref="C43:H43" si="6">SUM(C40:C42)</f>
        <v>0</v>
      </c>
      <c r="D43" s="36">
        <f t="shared" si="6"/>
        <v>0</v>
      </c>
      <c r="E43" s="36">
        <f t="shared" si="6"/>
        <v>955822.23</v>
      </c>
      <c r="F43" s="36">
        <f t="shared" si="6"/>
        <v>0</v>
      </c>
      <c r="G43" s="36">
        <f t="shared" si="6"/>
        <v>0</v>
      </c>
      <c r="H43" s="36">
        <f t="shared" si="6"/>
        <v>955822.23</v>
      </c>
    </row>
    <row r="44" spans="1:10" ht="15" thickBot="1" x14ac:dyDescent="0.35"/>
    <row r="45" spans="1:10" ht="29.4" thickBot="1" x14ac:dyDescent="0.35">
      <c r="A45" s="69">
        <v>46235</v>
      </c>
      <c r="B45" s="70" t="s">
        <v>4</v>
      </c>
      <c r="C45" s="70" t="s">
        <v>0</v>
      </c>
      <c r="D45" s="70" t="s">
        <v>5</v>
      </c>
      <c r="E45" s="71" t="s">
        <v>8</v>
      </c>
      <c r="F45" s="72" t="s">
        <v>10</v>
      </c>
      <c r="G45" s="73" t="s">
        <v>9</v>
      </c>
      <c r="H45" s="75">
        <v>46264</v>
      </c>
    </row>
    <row r="46" spans="1:10" ht="15" thickBot="1" x14ac:dyDescent="0.35">
      <c r="A46" s="74" t="s">
        <v>24</v>
      </c>
      <c r="B46" s="6">
        <f>H40</f>
        <v>894515.45</v>
      </c>
      <c r="C46" s="6"/>
      <c r="D46" s="6"/>
      <c r="E46" s="6">
        <f>C46+B46-D46</f>
        <v>894515.45</v>
      </c>
      <c r="F46" s="15"/>
      <c r="G46" s="17">
        <f>IFERROR(F46/B46,0)</f>
        <v>0</v>
      </c>
      <c r="H46" s="6">
        <f>F46+E46</f>
        <v>894515.45</v>
      </c>
      <c r="I46" s="56"/>
      <c r="J46" s="56"/>
    </row>
    <row r="47" spans="1:10" ht="15" thickBot="1" x14ac:dyDescent="0.35">
      <c r="A47" s="74" t="s">
        <v>26</v>
      </c>
      <c r="B47" s="8">
        <f>H41</f>
        <v>61306.78</v>
      </c>
      <c r="C47" s="8"/>
      <c r="D47" s="6"/>
      <c r="E47" s="6">
        <f>C47+B47-D47</f>
        <v>61306.78</v>
      </c>
      <c r="F47" s="15"/>
      <c r="G47" s="17">
        <f>IFERROR(F47/B47,0)</f>
        <v>0</v>
      </c>
      <c r="H47" s="6">
        <f>F47+E47</f>
        <v>61306.78</v>
      </c>
      <c r="I47" s="56"/>
      <c r="J47" s="56"/>
    </row>
    <row r="48" spans="1:10" ht="15" thickBot="1" x14ac:dyDescent="0.35">
      <c r="A48" s="108"/>
      <c r="B48" s="8">
        <f>H42</f>
        <v>0</v>
      </c>
      <c r="C48" s="8"/>
      <c r="D48" s="6"/>
      <c r="E48" s="6">
        <f>C48+B48-D48</f>
        <v>0</v>
      </c>
      <c r="F48" s="15"/>
      <c r="G48" s="17">
        <f>IFERROR(F48/B48,0)</f>
        <v>0</v>
      </c>
      <c r="H48" s="6">
        <f>F48+E48</f>
        <v>0</v>
      </c>
      <c r="I48" s="56"/>
      <c r="J48" s="56"/>
    </row>
    <row r="49" spans="1:10" ht="15" thickBot="1" x14ac:dyDescent="0.35">
      <c r="A49" s="9" t="s">
        <v>6</v>
      </c>
      <c r="B49" s="36">
        <f>SUM(B46:B48)</f>
        <v>955822.23</v>
      </c>
      <c r="C49" s="36">
        <f t="shared" ref="C49:H49" si="7">SUM(C46:C48)</f>
        <v>0</v>
      </c>
      <c r="D49" s="36">
        <f t="shared" si="7"/>
        <v>0</v>
      </c>
      <c r="E49" s="36">
        <f t="shared" si="7"/>
        <v>955822.23</v>
      </c>
      <c r="F49" s="36">
        <f t="shared" si="7"/>
        <v>0</v>
      </c>
      <c r="G49" s="36">
        <f t="shared" si="7"/>
        <v>0</v>
      </c>
      <c r="H49" s="36">
        <f t="shared" si="7"/>
        <v>955822.23</v>
      </c>
    </row>
    <row r="50" spans="1:10" ht="15" thickBot="1" x14ac:dyDescent="0.35"/>
    <row r="51" spans="1:10" ht="29.4" thickBot="1" x14ac:dyDescent="0.35">
      <c r="A51" s="69">
        <v>46266</v>
      </c>
      <c r="B51" s="70" t="s">
        <v>4</v>
      </c>
      <c r="C51" s="70" t="s">
        <v>0</v>
      </c>
      <c r="D51" s="70" t="s">
        <v>5</v>
      </c>
      <c r="E51" s="71" t="s">
        <v>8</v>
      </c>
      <c r="F51" s="72" t="s">
        <v>10</v>
      </c>
      <c r="G51" s="73" t="s">
        <v>9</v>
      </c>
      <c r="H51" s="75">
        <v>46295</v>
      </c>
    </row>
    <row r="52" spans="1:10" ht="15" thickBot="1" x14ac:dyDescent="0.35">
      <c r="A52" s="74" t="s">
        <v>24</v>
      </c>
      <c r="B52" s="6">
        <f>H46</f>
        <v>894515.45</v>
      </c>
      <c r="C52" s="6"/>
      <c r="D52" s="6"/>
      <c r="E52" s="6">
        <f>C52+B52-D52</f>
        <v>894515.45</v>
      </c>
      <c r="F52" s="15"/>
      <c r="G52" s="17">
        <f>IFERROR(F52/B52,0)</f>
        <v>0</v>
      </c>
      <c r="H52" s="6">
        <f>F52+E52</f>
        <v>894515.45</v>
      </c>
      <c r="I52" s="56"/>
      <c r="J52" s="56"/>
    </row>
    <row r="53" spans="1:10" ht="15" thickBot="1" x14ac:dyDescent="0.35">
      <c r="A53" s="74" t="s">
        <v>26</v>
      </c>
      <c r="B53" s="8">
        <f>H47</f>
        <v>61306.78</v>
      </c>
      <c r="C53" s="8"/>
      <c r="D53" s="6"/>
      <c r="E53" s="6">
        <f>C53+B53-D53</f>
        <v>61306.78</v>
      </c>
      <c r="F53" s="15"/>
      <c r="G53" s="17">
        <f>IFERROR(F53/B53,0)</f>
        <v>0</v>
      </c>
      <c r="H53" s="6">
        <f>F53+E53</f>
        <v>61306.78</v>
      </c>
      <c r="I53" s="56"/>
      <c r="J53" s="56"/>
    </row>
    <row r="54" spans="1:10" ht="15" thickBot="1" x14ac:dyDescent="0.35">
      <c r="A54" s="108"/>
      <c r="B54" s="8">
        <f>H48</f>
        <v>0</v>
      </c>
      <c r="C54" s="8"/>
      <c r="D54" s="6"/>
      <c r="E54" s="6">
        <f>C54+B54-D54</f>
        <v>0</v>
      </c>
      <c r="F54" s="15"/>
      <c r="G54" s="17">
        <f>IFERROR(F54/B54,0)</f>
        <v>0</v>
      </c>
      <c r="H54" s="6">
        <f>F54+E54</f>
        <v>0</v>
      </c>
      <c r="I54" s="56"/>
    </row>
    <row r="55" spans="1:10" ht="15" thickBot="1" x14ac:dyDescent="0.35">
      <c r="A55" s="9" t="s">
        <v>6</v>
      </c>
      <c r="B55" s="36">
        <f>SUM(B52:B54)</f>
        <v>955822.23</v>
      </c>
      <c r="C55" s="36">
        <f t="shared" ref="C55:H55" si="8">SUM(C52:C54)</f>
        <v>0</v>
      </c>
      <c r="D55" s="36">
        <f t="shared" si="8"/>
        <v>0</v>
      </c>
      <c r="E55" s="36">
        <f t="shared" si="8"/>
        <v>955822.23</v>
      </c>
      <c r="F55" s="36">
        <f t="shared" si="8"/>
        <v>0</v>
      </c>
      <c r="G55" s="36">
        <f t="shared" si="8"/>
        <v>0</v>
      </c>
      <c r="H55" s="36">
        <f t="shared" si="8"/>
        <v>955822.23</v>
      </c>
    </row>
    <row r="56" spans="1:10" ht="15" thickBot="1" x14ac:dyDescent="0.35"/>
    <row r="57" spans="1:10" ht="29.4" thickBot="1" x14ac:dyDescent="0.35">
      <c r="A57" s="69">
        <v>46296</v>
      </c>
      <c r="B57" s="70" t="s">
        <v>4</v>
      </c>
      <c r="C57" s="70" t="s">
        <v>0</v>
      </c>
      <c r="D57" s="70" t="s">
        <v>5</v>
      </c>
      <c r="E57" s="71" t="s">
        <v>8</v>
      </c>
      <c r="F57" s="72" t="s">
        <v>10</v>
      </c>
      <c r="G57" s="73" t="s">
        <v>9</v>
      </c>
      <c r="H57" s="75">
        <v>46325</v>
      </c>
    </row>
    <row r="58" spans="1:10" ht="15" thickBot="1" x14ac:dyDescent="0.35">
      <c r="A58" s="74" t="s">
        <v>24</v>
      </c>
      <c r="B58" s="6">
        <f>H52</f>
        <v>894515.45</v>
      </c>
      <c r="C58" s="6"/>
      <c r="D58" s="6"/>
      <c r="E58" s="6">
        <f>C58+B58-D58</f>
        <v>894515.45</v>
      </c>
      <c r="F58" s="15"/>
      <c r="G58" s="17">
        <f>IFERROR(F58/B58,0)</f>
        <v>0</v>
      </c>
      <c r="H58" s="6">
        <f>F58+E58</f>
        <v>894515.45</v>
      </c>
      <c r="I58" s="56"/>
    </row>
    <row r="59" spans="1:10" ht="15" thickBot="1" x14ac:dyDescent="0.35">
      <c r="A59" s="74" t="s">
        <v>26</v>
      </c>
      <c r="B59" s="8">
        <f>H53</f>
        <v>61306.78</v>
      </c>
      <c r="C59" s="8"/>
      <c r="D59" s="6"/>
      <c r="E59" s="6">
        <f>C59+B59-D59</f>
        <v>61306.78</v>
      </c>
      <c r="F59" s="15"/>
      <c r="G59" s="17">
        <f>IFERROR(F59/B59,0)</f>
        <v>0</v>
      </c>
      <c r="H59" s="6">
        <f>F59+E59</f>
        <v>61306.78</v>
      </c>
      <c r="I59" s="56"/>
    </row>
    <row r="60" spans="1:10" ht="15" thickBot="1" x14ac:dyDescent="0.35">
      <c r="A60" s="108"/>
      <c r="B60" s="8">
        <f>H54</f>
        <v>0</v>
      </c>
      <c r="C60" s="8"/>
      <c r="D60" s="6"/>
      <c r="E60" s="6">
        <f>C60+B60-D60</f>
        <v>0</v>
      </c>
      <c r="F60" s="15"/>
      <c r="G60" s="17">
        <f>IFERROR(F60/B60,0)</f>
        <v>0</v>
      </c>
      <c r="H60" s="6">
        <f>F60+E60</f>
        <v>0</v>
      </c>
      <c r="I60" s="56"/>
    </row>
    <row r="61" spans="1:10" ht="15" thickBot="1" x14ac:dyDescent="0.35">
      <c r="A61" s="9" t="s">
        <v>6</v>
      </c>
      <c r="B61" s="36">
        <f>SUM(B58:B60)</f>
        <v>955822.23</v>
      </c>
      <c r="C61" s="36">
        <f t="shared" ref="C61:H61" si="9">SUM(C58:C60)</f>
        <v>0</v>
      </c>
      <c r="D61" s="36">
        <f t="shared" si="9"/>
        <v>0</v>
      </c>
      <c r="E61" s="36">
        <f t="shared" si="9"/>
        <v>955822.23</v>
      </c>
      <c r="F61" s="36">
        <f t="shared" si="9"/>
        <v>0</v>
      </c>
      <c r="G61" s="36">
        <f t="shared" si="9"/>
        <v>0</v>
      </c>
      <c r="H61" s="36">
        <f t="shared" si="9"/>
        <v>955822.23</v>
      </c>
    </row>
    <row r="62" spans="1:10" ht="15" thickBot="1" x14ac:dyDescent="0.35"/>
    <row r="63" spans="1:10" ht="29.4" thickBot="1" x14ac:dyDescent="0.35">
      <c r="A63" s="69">
        <v>46327</v>
      </c>
      <c r="B63" s="70" t="s">
        <v>4</v>
      </c>
      <c r="C63" s="70" t="s">
        <v>0</v>
      </c>
      <c r="D63" s="70" t="s">
        <v>5</v>
      </c>
      <c r="E63" s="71" t="s">
        <v>8</v>
      </c>
      <c r="F63" s="72" t="s">
        <v>10</v>
      </c>
      <c r="G63" s="73" t="s">
        <v>9</v>
      </c>
      <c r="H63" s="75">
        <v>46356</v>
      </c>
    </row>
    <row r="64" spans="1:10" ht="15" thickBot="1" x14ac:dyDescent="0.35">
      <c r="A64" s="74" t="s">
        <v>24</v>
      </c>
      <c r="B64" s="6">
        <f>H58</f>
        <v>894515.45</v>
      </c>
      <c r="C64" s="6"/>
      <c r="D64" s="6"/>
      <c r="E64" s="6">
        <f>C64+B64-D64</f>
        <v>894515.45</v>
      </c>
      <c r="F64" s="15"/>
      <c r="G64" s="17">
        <f>IFERROR(F64/B64,0)</f>
        <v>0</v>
      </c>
      <c r="H64" s="6">
        <f>F64+E64</f>
        <v>894515.45</v>
      </c>
      <c r="I64" s="56"/>
      <c r="J64" s="56"/>
    </row>
    <row r="65" spans="1:10" ht="15" thickBot="1" x14ac:dyDescent="0.35">
      <c r="A65" s="74" t="s">
        <v>26</v>
      </c>
      <c r="B65" s="8">
        <f>H59</f>
        <v>61306.78</v>
      </c>
      <c r="C65" s="8"/>
      <c r="D65" s="6"/>
      <c r="E65" s="6">
        <f>C65+B65-D65</f>
        <v>61306.78</v>
      </c>
      <c r="F65" s="15"/>
      <c r="G65" s="17">
        <f>IFERROR(F65/B65,0)</f>
        <v>0</v>
      </c>
      <c r="H65" s="6">
        <f>F65+E65</f>
        <v>61306.78</v>
      </c>
      <c r="I65" s="56"/>
      <c r="J65" s="56"/>
    </row>
    <row r="66" spans="1:10" ht="15" thickBot="1" x14ac:dyDescent="0.35">
      <c r="A66" s="108"/>
      <c r="B66" s="8">
        <f>H60</f>
        <v>0</v>
      </c>
      <c r="C66" s="8"/>
      <c r="D66" s="6"/>
      <c r="E66" s="6">
        <f>C66+B66-D66</f>
        <v>0</v>
      </c>
      <c r="F66" s="15"/>
      <c r="G66" s="17">
        <f>IFERROR(F66/B66,0)</f>
        <v>0</v>
      </c>
      <c r="H66" s="6">
        <f>F66+E66</f>
        <v>0</v>
      </c>
      <c r="J66" s="56"/>
    </row>
    <row r="67" spans="1:10" ht="15" thickBot="1" x14ac:dyDescent="0.35">
      <c r="A67" s="9" t="s">
        <v>6</v>
      </c>
      <c r="B67" s="36">
        <f>SUM(B64:B66)</f>
        <v>955822.23</v>
      </c>
      <c r="C67" s="36">
        <f t="shared" ref="C67:H67" si="10">SUM(C64:C66)</f>
        <v>0</v>
      </c>
      <c r="D67" s="36">
        <f t="shared" si="10"/>
        <v>0</v>
      </c>
      <c r="E67" s="36">
        <f t="shared" si="10"/>
        <v>955822.23</v>
      </c>
      <c r="F67" s="36">
        <f t="shared" si="10"/>
        <v>0</v>
      </c>
      <c r="G67" s="36">
        <f t="shared" si="10"/>
        <v>0</v>
      </c>
      <c r="H67" s="36">
        <f t="shared" si="10"/>
        <v>955822.23</v>
      </c>
    </row>
    <row r="68" spans="1:10" ht="15" thickBot="1" x14ac:dyDescent="0.35"/>
    <row r="69" spans="1:10" ht="29.4" thickBot="1" x14ac:dyDescent="0.35">
      <c r="A69" s="69">
        <v>46357</v>
      </c>
      <c r="B69" s="70" t="s">
        <v>4</v>
      </c>
      <c r="C69" s="70" t="s">
        <v>0</v>
      </c>
      <c r="D69" s="70" t="s">
        <v>5</v>
      </c>
      <c r="E69" s="71" t="s">
        <v>8</v>
      </c>
      <c r="F69" s="72" t="s">
        <v>10</v>
      </c>
      <c r="G69" s="73" t="s">
        <v>9</v>
      </c>
      <c r="H69" s="75">
        <v>46386</v>
      </c>
    </row>
    <row r="70" spans="1:10" ht="15" thickBot="1" x14ac:dyDescent="0.35">
      <c r="A70" s="74" t="s">
        <v>24</v>
      </c>
      <c r="B70" s="6">
        <f>H64</f>
        <v>894515.45</v>
      </c>
      <c r="C70" s="6"/>
      <c r="D70" s="6"/>
      <c r="E70" s="6">
        <f>C70+B70-D70</f>
        <v>894515.45</v>
      </c>
      <c r="F70" s="15"/>
      <c r="G70" s="17">
        <f>IFERROR(F70/B70,0)</f>
        <v>0</v>
      </c>
      <c r="H70" s="6">
        <f>F70+E70</f>
        <v>894515.45</v>
      </c>
      <c r="J70" s="56"/>
    </row>
    <row r="71" spans="1:10" ht="15" thickBot="1" x14ac:dyDescent="0.35">
      <c r="A71" s="74" t="s">
        <v>26</v>
      </c>
      <c r="B71" s="8">
        <f>H65</f>
        <v>61306.78</v>
      </c>
      <c r="C71" s="8"/>
      <c r="D71" s="6"/>
      <c r="E71" s="6">
        <f>C71+B71-D71</f>
        <v>61306.78</v>
      </c>
      <c r="F71" s="15"/>
      <c r="G71" s="17">
        <f>IFERROR(F71/B71,0)</f>
        <v>0</v>
      </c>
      <c r="H71" s="6">
        <f>F71+E71</f>
        <v>61306.78</v>
      </c>
      <c r="J71" s="56"/>
    </row>
    <row r="72" spans="1:10" ht="15" thickBot="1" x14ac:dyDescent="0.35">
      <c r="A72" s="108"/>
      <c r="B72" s="8">
        <f>H66</f>
        <v>0</v>
      </c>
      <c r="C72" s="8"/>
      <c r="D72" s="6"/>
      <c r="E72" s="6">
        <f>C72+B72-D72</f>
        <v>0</v>
      </c>
      <c r="F72" s="15"/>
      <c r="G72" s="17">
        <f>IFERROR(F72/B72,0)</f>
        <v>0</v>
      </c>
      <c r="H72" s="6">
        <f>F72+E72</f>
        <v>0</v>
      </c>
    </row>
    <row r="73" spans="1:10" ht="15" thickBot="1" x14ac:dyDescent="0.35">
      <c r="A73" s="9" t="s">
        <v>6</v>
      </c>
      <c r="B73" s="36">
        <f>SUM(B70:B72)</f>
        <v>955822.23</v>
      </c>
      <c r="C73" s="36">
        <f t="shared" ref="C73:H73" si="11">SUM(C70:C72)</f>
        <v>0</v>
      </c>
      <c r="D73" s="36">
        <f t="shared" si="11"/>
        <v>0</v>
      </c>
      <c r="E73" s="36">
        <f t="shared" si="11"/>
        <v>955822.23</v>
      </c>
      <c r="F73" s="36">
        <f t="shared" si="11"/>
        <v>0</v>
      </c>
      <c r="G73" s="36">
        <f t="shared" si="11"/>
        <v>0</v>
      </c>
      <c r="H73" s="36">
        <f t="shared" si="11"/>
        <v>955822.23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22F4-848C-4505-A277-0A9A6FFC7D12}">
  <sheetPr>
    <tabColor rgb="FFFF0000"/>
  </sheetPr>
  <dimension ref="A3:AM122"/>
  <sheetViews>
    <sheetView topLeftCell="A7" zoomScaleNormal="100" workbookViewId="0">
      <selection activeCell="I20" sqref="I20:J20"/>
    </sheetView>
  </sheetViews>
  <sheetFormatPr defaultRowHeight="14.4" x14ac:dyDescent="0.3"/>
  <cols>
    <col min="1" max="1" width="14.21875" customWidth="1"/>
    <col min="2" max="2" width="14.33203125" bestFit="1" customWidth="1"/>
    <col min="3" max="3" width="14.21875" bestFit="1" customWidth="1"/>
    <col min="4" max="4" width="12.5546875" bestFit="1" customWidth="1"/>
    <col min="5" max="5" width="14.21875" bestFit="1" customWidth="1"/>
    <col min="6" max="6" width="13.21875" customWidth="1"/>
    <col min="7" max="7" width="12.6640625" customWidth="1"/>
    <col min="8" max="8" width="14.33203125" bestFit="1" customWidth="1"/>
    <col min="9" max="10" width="14.88671875" bestFit="1" customWidth="1"/>
    <col min="11" max="11" width="12.21875" bestFit="1" customWidth="1"/>
    <col min="13" max="13" width="10.5546875" bestFit="1" customWidth="1"/>
  </cols>
  <sheetData>
    <row r="3" spans="1:10" ht="15" thickBot="1" x14ac:dyDescent="0.35"/>
    <row r="4" spans="1:10" ht="29.4" thickBot="1" x14ac:dyDescent="0.35">
      <c r="A4" s="84">
        <v>46023</v>
      </c>
      <c r="B4" s="85" t="s">
        <v>4</v>
      </c>
      <c r="C4" s="85" t="s">
        <v>0</v>
      </c>
      <c r="D4" s="85" t="s">
        <v>5</v>
      </c>
      <c r="E4" s="86" t="s">
        <v>8</v>
      </c>
      <c r="F4" s="87" t="s">
        <v>10</v>
      </c>
      <c r="G4" s="88" t="s">
        <v>9</v>
      </c>
      <c r="H4" s="89" t="s">
        <v>56</v>
      </c>
    </row>
    <row r="5" spans="1:10" ht="15" thickBot="1" x14ac:dyDescent="0.35">
      <c r="A5" s="35" t="s">
        <v>27</v>
      </c>
      <c r="B5" s="6">
        <v>2728580.56</v>
      </c>
      <c r="C5" s="6"/>
      <c r="D5" s="6">
        <v>60000</v>
      </c>
      <c r="E5" s="6">
        <f t="shared" ref="E5:E10" si="0">B5+C5-D5</f>
        <v>2668580.56</v>
      </c>
      <c r="F5" s="15">
        <v>76766.05</v>
      </c>
      <c r="G5" s="17">
        <f t="shared" ref="G5:G11" si="1">IFERROR(F5/B5,0)</f>
        <v>2.8134060296903969E-2</v>
      </c>
      <c r="H5" s="6">
        <f t="shared" ref="H5:H11" si="2">F5+E5</f>
        <v>2745346.61</v>
      </c>
      <c r="I5" s="56"/>
    </row>
    <row r="6" spans="1:10" ht="29.4" thickBot="1" x14ac:dyDescent="0.35">
      <c r="A6" s="35" t="s">
        <v>29</v>
      </c>
      <c r="B6" s="92">
        <v>264083.98</v>
      </c>
      <c r="C6" s="92"/>
      <c r="D6" s="6"/>
      <c r="E6" s="6">
        <f t="shared" si="0"/>
        <v>264083.98</v>
      </c>
      <c r="F6" s="15">
        <v>2566.6999999999998</v>
      </c>
      <c r="G6" s="17">
        <f t="shared" si="1"/>
        <v>9.7192567303779655E-3</v>
      </c>
      <c r="H6" s="6">
        <f t="shared" si="2"/>
        <v>266650.68</v>
      </c>
      <c r="I6" s="56"/>
      <c r="J6" s="56"/>
    </row>
    <row r="7" spans="1:10" ht="29.4" thickBot="1" x14ac:dyDescent="0.35">
      <c r="A7" s="35" t="s">
        <v>30</v>
      </c>
      <c r="B7" s="8">
        <v>446881.84</v>
      </c>
      <c r="C7" s="8"/>
      <c r="D7" s="6"/>
      <c r="E7" s="6">
        <f t="shared" si="0"/>
        <v>446881.84</v>
      </c>
      <c r="F7" s="15">
        <v>2964.81</v>
      </c>
      <c r="G7" s="17">
        <f t="shared" si="1"/>
        <v>6.6344383114784883E-3</v>
      </c>
      <c r="H7" s="6">
        <f t="shared" si="2"/>
        <v>449846.65</v>
      </c>
      <c r="I7" s="56"/>
      <c r="J7" s="56"/>
    </row>
    <row r="8" spans="1:10" ht="15" thickBot="1" x14ac:dyDescent="0.35">
      <c r="A8" s="35" t="s">
        <v>28</v>
      </c>
      <c r="B8" s="8">
        <v>934267.54</v>
      </c>
      <c r="C8" s="8"/>
      <c r="D8" s="6"/>
      <c r="E8" s="6">
        <f t="shared" si="0"/>
        <v>934267.54</v>
      </c>
      <c r="F8" s="15">
        <v>5869.37</v>
      </c>
      <c r="G8" s="17">
        <f t="shared" si="1"/>
        <v>6.2823225133134776E-3</v>
      </c>
      <c r="H8" s="6">
        <f t="shared" si="2"/>
        <v>940136.91</v>
      </c>
      <c r="I8" s="56"/>
      <c r="J8" s="56"/>
    </row>
    <row r="9" spans="1:10" ht="15" thickBot="1" x14ac:dyDescent="0.35">
      <c r="A9" s="35" t="s">
        <v>12</v>
      </c>
      <c r="B9" s="8">
        <v>354270.06</v>
      </c>
      <c r="C9" s="8"/>
      <c r="D9" s="6"/>
      <c r="E9" s="6">
        <f t="shared" si="0"/>
        <v>354270.06</v>
      </c>
      <c r="F9" s="15">
        <v>3792.64</v>
      </c>
      <c r="G9" s="17">
        <f t="shared" si="1"/>
        <v>1.070550528599566E-2</v>
      </c>
      <c r="H9" s="6">
        <f t="shared" si="2"/>
        <v>358062.7</v>
      </c>
      <c r="I9" s="56"/>
      <c r="J9" s="56"/>
    </row>
    <row r="10" spans="1:10" ht="15" thickBot="1" x14ac:dyDescent="0.35">
      <c r="A10" s="120" t="s">
        <v>36</v>
      </c>
      <c r="B10" s="8">
        <v>22606.48</v>
      </c>
      <c r="C10" s="8"/>
      <c r="D10" s="6"/>
      <c r="E10" s="6">
        <f t="shared" si="0"/>
        <v>22606.48</v>
      </c>
      <c r="F10" s="15">
        <v>205.59</v>
      </c>
      <c r="G10" s="17">
        <f t="shared" si="1"/>
        <v>9.0942950870723793E-3</v>
      </c>
      <c r="H10" s="6">
        <f t="shared" si="2"/>
        <v>22812.07</v>
      </c>
      <c r="I10" s="56"/>
      <c r="J10" s="56"/>
    </row>
    <row r="11" spans="1:10" ht="15" thickBot="1" x14ac:dyDescent="0.35">
      <c r="A11" s="35"/>
      <c r="B11" s="8"/>
      <c r="C11" s="8"/>
      <c r="D11" s="6"/>
      <c r="E11" s="6"/>
      <c r="F11" s="15"/>
      <c r="G11" s="17">
        <f t="shared" si="1"/>
        <v>0</v>
      </c>
      <c r="H11" s="6">
        <f t="shared" si="2"/>
        <v>0</v>
      </c>
      <c r="J11" s="56"/>
    </row>
    <row r="12" spans="1:10" ht="15" thickBot="1" x14ac:dyDescent="0.35">
      <c r="A12" s="82" t="s">
        <v>6</v>
      </c>
      <c r="B12" s="83">
        <f>SUM(B5:B11)</f>
        <v>4750690.46</v>
      </c>
      <c r="C12" s="83">
        <f t="shared" ref="C12:H12" si="3">SUM(C5:C11)</f>
        <v>0</v>
      </c>
      <c r="D12" s="83">
        <f t="shared" si="3"/>
        <v>60000</v>
      </c>
      <c r="E12" s="83">
        <f t="shared" si="3"/>
        <v>4690690.46</v>
      </c>
      <c r="F12" s="83">
        <f t="shared" si="3"/>
        <v>92165.159999999989</v>
      </c>
      <c r="G12" s="83">
        <f t="shared" si="3"/>
        <v>7.0569878225141935E-2</v>
      </c>
      <c r="H12" s="83">
        <f t="shared" si="3"/>
        <v>4782855.62</v>
      </c>
    </row>
    <row r="13" spans="1:10" ht="15" thickBot="1" x14ac:dyDescent="0.35"/>
    <row r="14" spans="1:10" ht="29.4" thickBot="1" x14ac:dyDescent="0.35">
      <c r="A14" s="84">
        <v>46054</v>
      </c>
      <c r="B14" s="85" t="s">
        <v>4</v>
      </c>
      <c r="C14" s="85" t="s">
        <v>0</v>
      </c>
      <c r="D14" s="85" t="s">
        <v>5</v>
      </c>
      <c r="E14" s="86" t="s">
        <v>8</v>
      </c>
      <c r="F14" s="87" t="s">
        <v>10</v>
      </c>
      <c r="G14" s="88" t="s">
        <v>9</v>
      </c>
      <c r="H14" s="89" t="s">
        <v>57</v>
      </c>
    </row>
    <row r="15" spans="1:10" ht="15" thickBot="1" x14ac:dyDescent="0.35">
      <c r="A15" s="35" t="s">
        <v>27</v>
      </c>
      <c r="B15" s="6">
        <f>H5</f>
        <v>2745346.61</v>
      </c>
      <c r="C15" s="6"/>
      <c r="D15" s="6"/>
      <c r="E15" s="6">
        <f t="shared" ref="E15:E20" si="4">B15+C15-D15</f>
        <v>2745346.61</v>
      </c>
      <c r="F15" s="15">
        <v>577.19000000000005</v>
      </c>
      <c r="G15" s="17">
        <f t="shared" ref="G15:G21" si="5">IFERROR(F15/B15,0)</f>
        <v>2.1024303375667385E-4</v>
      </c>
      <c r="H15" s="57">
        <f t="shared" ref="H15:H20" si="6">F15+E15</f>
        <v>2745923.8</v>
      </c>
      <c r="I15" s="56"/>
      <c r="J15" s="56"/>
    </row>
    <row r="16" spans="1:10" ht="29.4" thickBot="1" x14ac:dyDescent="0.35">
      <c r="A16" s="35" t="s">
        <v>29</v>
      </c>
      <c r="B16" s="6">
        <f t="shared" ref="B16:B21" si="7">H6</f>
        <v>266650.68</v>
      </c>
      <c r="C16" s="6"/>
      <c r="D16" s="6"/>
      <c r="E16" s="6">
        <f t="shared" si="4"/>
        <v>266650.68</v>
      </c>
      <c r="F16" s="15">
        <v>2525.73</v>
      </c>
      <c r="G16" s="17">
        <f t="shared" si="5"/>
        <v>9.4720553497182162E-3</v>
      </c>
      <c r="H16" s="57">
        <f t="shared" si="6"/>
        <v>269176.40999999997</v>
      </c>
      <c r="I16" s="56"/>
      <c r="J16" s="56"/>
    </row>
    <row r="17" spans="1:11" ht="29.4" thickBot="1" x14ac:dyDescent="0.35">
      <c r="A17" s="35" t="s">
        <v>30</v>
      </c>
      <c r="B17" s="6">
        <f t="shared" si="7"/>
        <v>449846.65</v>
      </c>
      <c r="C17" s="6"/>
      <c r="D17" s="6">
        <v>10658.87</v>
      </c>
      <c r="E17" s="6">
        <f t="shared" si="4"/>
        <v>439187.78</v>
      </c>
      <c r="F17" s="15">
        <v>3130.2</v>
      </c>
      <c r="G17" s="17">
        <f t="shared" si="5"/>
        <v>6.9583712582943534E-3</v>
      </c>
      <c r="H17" s="57">
        <f t="shared" si="6"/>
        <v>442317.98000000004</v>
      </c>
      <c r="I17" s="56"/>
      <c r="J17" s="56"/>
      <c r="K17" s="56"/>
    </row>
    <row r="18" spans="1:11" ht="15" thickBot="1" x14ac:dyDescent="0.35">
      <c r="A18" s="35" t="s">
        <v>28</v>
      </c>
      <c r="B18" s="6">
        <f t="shared" si="7"/>
        <v>940136.91</v>
      </c>
      <c r="C18" s="6"/>
      <c r="D18" s="6"/>
      <c r="E18" s="6">
        <f t="shared" si="4"/>
        <v>940136.91</v>
      </c>
      <c r="F18" s="15">
        <v>4975.0600000000004</v>
      </c>
      <c r="G18" s="17">
        <f t="shared" si="5"/>
        <v>5.2918462694970672E-3</v>
      </c>
      <c r="H18" s="57">
        <f t="shared" si="6"/>
        <v>945111.97000000009</v>
      </c>
      <c r="I18" s="56"/>
      <c r="J18" s="56"/>
    </row>
    <row r="19" spans="1:11" ht="15" thickBot="1" x14ac:dyDescent="0.35">
      <c r="A19" s="35" t="s">
        <v>12</v>
      </c>
      <c r="B19" s="6">
        <f t="shared" si="7"/>
        <v>358062.7</v>
      </c>
      <c r="C19" s="6"/>
      <c r="D19" s="6"/>
      <c r="E19" s="6">
        <f t="shared" si="4"/>
        <v>358062.7</v>
      </c>
      <c r="F19" s="15">
        <v>3283.14</v>
      </c>
      <c r="G19" s="17">
        <f>IFERROR(F19/AM58,0)</f>
        <v>0</v>
      </c>
      <c r="H19" s="57">
        <f t="shared" si="6"/>
        <v>361345.84</v>
      </c>
      <c r="I19" s="56"/>
      <c r="J19" s="56"/>
    </row>
    <row r="20" spans="1:11" ht="15" thickBot="1" x14ac:dyDescent="0.35">
      <c r="A20" s="120" t="s">
        <v>36</v>
      </c>
      <c r="B20" s="6">
        <f t="shared" si="7"/>
        <v>22812.07</v>
      </c>
      <c r="C20" s="8"/>
      <c r="D20" s="6"/>
      <c r="E20" s="6">
        <f t="shared" si="4"/>
        <v>22812.07</v>
      </c>
      <c r="F20" s="15">
        <v>572.83000000000004</v>
      </c>
      <c r="G20" s="17">
        <f t="shared" si="5"/>
        <v>2.5110829486320183E-2</v>
      </c>
      <c r="H20" s="57">
        <f t="shared" si="6"/>
        <v>23384.9</v>
      </c>
      <c r="J20" s="56"/>
    </row>
    <row r="21" spans="1:11" ht="15" thickBot="1" x14ac:dyDescent="0.35">
      <c r="A21" s="120"/>
      <c r="B21" s="6">
        <f t="shared" si="7"/>
        <v>0</v>
      </c>
      <c r="C21" s="8"/>
      <c r="D21" s="6"/>
      <c r="E21" s="6"/>
      <c r="F21" s="15"/>
      <c r="G21" s="17">
        <f t="shared" si="5"/>
        <v>0</v>
      </c>
      <c r="H21" s="57">
        <f>F21+E21</f>
        <v>0</v>
      </c>
      <c r="J21" s="56"/>
    </row>
    <row r="22" spans="1:11" ht="15" thickBot="1" x14ac:dyDescent="0.35">
      <c r="A22" s="82" t="s">
        <v>6</v>
      </c>
      <c r="B22" s="83">
        <f>SUM(B15:B21)</f>
        <v>4782855.62</v>
      </c>
      <c r="C22" s="83">
        <f t="shared" ref="C22:H22" si="8">SUM(C15:C21)</f>
        <v>0</v>
      </c>
      <c r="D22" s="83">
        <f t="shared" si="8"/>
        <v>10658.87</v>
      </c>
      <c r="E22" s="83">
        <f t="shared" si="8"/>
        <v>4772196.7500000009</v>
      </c>
      <c r="F22" s="83">
        <f t="shared" si="8"/>
        <v>15064.15</v>
      </c>
      <c r="G22" s="83">
        <f t="shared" si="8"/>
        <v>4.7043345397586492E-2</v>
      </c>
      <c r="H22" s="83">
        <f t="shared" si="8"/>
        <v>4787260.9000000004</v>
      </c>
    </row>
    <row r="23" spans="1:11" ht="15" thickBot="1" x14ac:dyDescent="0.35"/>
    <row r="24" spans="1:11" ht="29.4" thickBot="1" x14ac:dyDescent="0.35">
      <c r="A24" s="84">
        <v>46082</v>
      </c>
      <c r="B24" s="85" t="s">
        <v>4</v>
      </c>
      <c r="C24" s="85" t="s">
        <v>0</v>
      </c>
      <c r="D24" s="85" t="s">
        <v>5</v>
      </c>
      <c r="E24" s="86" t="s">
        <v>8</v>
      </c>
      <c r="F24" s="87" t="s">
        <v>10</v>
      </c>
      <c r="G24" s="88" t="s">
        <v>9</v>
      </c>
      <c r="H24" s="89" t="s">
        <v>58</v>
      </c>
    </row>
    <row r="25" spans="1:11" ht="15" thickBot="1" x14ac:dyDescent="0.35">
      <c r="A25" s="35" t="s">
        <v>27</v>
      </c>
      <c r="B25" s="6">
        <f>H15</f>
        <v>2745923.8</v>
      </c>
      <c r="C25" s="6"/>
      <c r="D25" s="6"/>
      <c r="E25" s="6">
        <f t="shared" ref="E25" si="9">B25+C25-D25</f>
        <v>2745923.8</v>
      </c>
      <c r="F25" s="15"/>
      <c r="G25" s="17">
        <f t="shared" ref="G25" si="10">IFERROR(F25/B25,0)</f>
        <v>0</v>
      </c>
      <c r="H25" s="57">
        <f t="shared" ref="H25" si="11">F25+E25</f>
        <v>2745923.8</v>
      </c>
      <c r="I25" s="56"/>
    </row>
    <row r="26" spans="1:11" ht="29.4" thickBot="1" x14ac:dyDescent="0.35">
      <c r="A26" s="35" t="s">
        <v>29</v>
      </c>
      <c r="B26" s="6">
        <f t="shared" ref="B26:B31" si="12">H16</f>
        <v>269176.40999999997</v>
      </c>
      <c r="C26" s="6"/>
      <c r="D26" s="6"/>
      <c r="E26" s="6">
        <f t="shared" ref="E26:E30" si="13">B26+C26-D26</f>
        <v>269176.40999999997</v>
      </c>
      <c r="F26" s="15"/>
      <c r="G26" s="17">
        <f t="shared" ref="G26:G31" si="14">IFERROR(F26/B26,0)</f>
        <v>0</v>
      </c>
      <c r="H26" s="57">
        <f t="shared" ref="H26:H30" si="15">F26+E26</f>
        <v>269176.40999999997</v>
      </c>
      <c r="I26" s="56"/>
    </row>
    <row r="27" spans="1:11" ht="29.4" thickBot="1" x14ac:dyDescent="0.35">
      <c r="A27" s="35" t="s">
        <v>30</v>
      </c>
      <c r="B27" s="6">
        <f t="shared" si="12"/>
        <v>442317.98000000004</v>
      </c>
      <c r="C27" s="6"/>
      <c r="D27" s="6"/>
      <c r="E27" s="6">
        <f t="shared" si="13"/>
        <v>442317.98000000004</v>
      </c>
      <c r="F27" s="15"/>
      <c r="G27" s="17">
        <f t="shared" si="14"/>
        <v>0</v>
      </c>
      <c r="H27" s="57">
        <f t="shared" si="15"/>
        <v>442317.98000000004</v>
      </c>
      <c r="I27" s="56"/>
    </row>
    <row r="28" spans="1:11" ht="15" thickBot="1" x14ac:dyDescent="0.35">
      <c r="A28" s="35" t="s">
        <v>28</v>
      </c>
      <c r="B28" s="6">
        <f t="shared" si="12"/>
        <v>945111.97000000009</v>
      </c>
      <c r="C28" s="6"/>
      <c r="D28" s="6"/>
      <c r="E28" s="6">
        <f t="shared" si="13"/>
        <v>945111.97000000009</v>
      </c>
      <c r="F28" s="15"/>
      <c r="G28" s="17">
        <f t="shared" si="14"/>
        <v>0</v>
      </c>
      <c r="H28" s="57">
        <f t="shared" si="15"/>
        <v>945111.97000000009</v>
      </c>
      <c r="I28" s="56"/>
    </row>
    <row r="29" spans="1:11" ht="15" thickBot="1" x14ac:dyDescent="0.35">
      <c r="A29" s="35" t="s">
        <v>12</v>
      </c>
      <c r="B29" s="6">
        <f t="shared" si="12"/>
        <v>361345.84</v>
      </c>
      <c r="C29" s="6"/>
      <c r="D29" s="6"/>
      <c r="E29" s="6">
        <f t="shared" si="13"/>
        <v>361345.84</v>
      </c>
      <c r="F29" s="15"/>
      <c r="G29" s="17">
        <f t="shared" si="14"/>
        <v>0</v>
      </c>
      <c r="H29" s="57">
        <f t="shared" si="15"/>
        <v>361345.84</v>
      </c>
      <c r="I29" s="56"/>
    </row>
    <row r="30" spans="1:11" ht="15" thickBot="1" x14ac:dyDescent="0.35">
      <c r="A30" s="120" t="s">
        <v>36</v>
      </c>
      <c r="B30" s="6">
        <f t="shared" si="12"/>
        <v>23384.9</v>
      </c>
      <c r="C30" s="8"/>
      <c r="D30" s="6"/>
      <c r="E30" s="6">
        <f t="shared" si="13"/>
        <v>23384.9</v>
      </c>
      <c r="F30" s="15"/>
      <c r="G30" s="17">
        <f t="shared" si="14"/>
        <v>0</v>
      </c>
      <c r="H30" s="57">
        <f t="shared" si="15"/>
        <v>23384.9</v>
      </c>
    </row>
    <row r="31" spans="1:11" ht="15" thickBot="1" x14ac:dyDescent="0.35">
      <c r="A31" s="120"/>
      <c r="B31" s="6">
        <f t="shared" si="12"/>
        <v>0</v>
      </c>
      <c r="C31" s="8"/>
      <c r="D31" s="6"/>
      <c r="E31" s="6"/>
      <c r="F31" s="15"/>
      <c r="G31" s="17">
        <f t="shared" si="14"/>
        <v>0</v>
      </c>
      <c r="H31" s="57">
        <f>F31+E31</f>
        <v>0</v>
      </c>
    </row>
    <row r="32" spans="1:11" ht="15" thickBot="1" x14ac:dyDescent="0.35">
      <c r="A32" s="82" t="s">
        <v>6</v>
      </c>
      <c r="B32" s="83">
        <f>SUM(B25:B31)</f>
        <v>4787260.9000000004</v>
      </c>
      <c r="C32" s="83">
        <f t="shared" ref="C32:G32" si="16">SUM(C26:C31)</f>
        <v>0</v>
      </c>
      <c r="D32" s="83">
        <f t="shared" si="16"/>
        <v>0</v>
      </c>
      <c r="E32" s="83">
        <f>SUM(E25:E31)</f>
        <v>4787260.9000000004</v>
      </c>
      <c r="F32" s="83">
        <f t="shared" si="16"/>
        <v>0</v>
      </c>
      <c r="G32" s="83">
        <f t="shared" si="16"/>
        <v>0</v>
      </c>
      <c r="H32" s="83">
        <f>SUM(H25:H31)</f>
        <v>4787260.9000000004</v>
      </c>
    </row>
    <row r="33" spans="1:10" ht="15" thickBot="1" x14ac:dyDescent="0.35"/>
    <row r="34" spans="1:10" ht="29.4" thickBot="1" x14ac:dyDescent="0.35">
      <c r="A34" s="84">
        <v>46113</v>
      </c>
      <c r="B34" s="85" t="s">
        <v>4</v>
      </c>
      <c r="C34" s="85" t="s">
        <v>0</v>
      </c>
      <c r="D34" s="85" t="s">
        <v>5</v>
      </c>
      <c r="E34" s="86" t="s">
        <v>8</v>
      </c>
      <c r="F34" s="87" t="s">
        <v>10</v>
      </c>
      <c r="G34" s="88" t="s">
        <v>9</v>
      </c>
      <c r="H34" s="89" t="s">
        <v>59</v>
      </c>
    </row>
    <row r="35" spans="1:10" ht="15" thickBot="1" x14ac:dyDescent="0.35">
      <c r="A35" s="35" t="s">
        <v>27</v>
      </c>
      <c r="B35" s="6">
        <f>H25</f>
        <v>2745923.8</v>
      </c>
      <c r="C35" s="6"/>
      <c r="D35" s="6"/>
      <c r="E35" s="6">
        <f t="shared" ref="E35:E40" si="17">B35+C35-D35</f>
        <v>2745923.8</v>
      </c>
      <c r="F35" s="15"/>
      <c r="G35" s="17">
        <f t="shared" ref="G35:G41" si="18">IFERROR(F35/B35,0)</f>
        <v>0</v>
      </c>
      <c r="H35" s="57">
        <f t="shared" ref="H35:H40" si="19">F35+E35</f>
        <v>2745923.8</v>
      </c>
      <c r="I35" s="56"/>
    </row>
    <row r="36" spans="1:10" ht="29.4" thickBot="1" x14ac:dyDescent="0.35">
      <c r="A36" s="35" t="s">
        <v>29</v>
      </c>
      <c r="B36" s="6">
        <f t="shared" ref="B36:B41" si="20">H26</f>
        <v>269176.40999999997</v>
      </c>
      <c r="C36" s="6"/>
      <c r="D36" s="6"/>
      <c r="E36" s="6">
        <f t="shared" si="17"/>
        <v>269176.40999999997</v>
      </c>
      <c r="F36" s="15"/>
      <c r="G36" s="17">
        <f t="shared" si="18"/>
        <v>0</v>
      </c>
      <c r="H36" s="57">
        <f t="shared" si="19"/>
        <v>269176.40999999997</v>
      </c>
      <c r="I36" s="56"/>
    </row>
    <row r="37" spans="1:10" ht="29.4" thickBot="1" x14ac:dyDescent="0.35">
      <c r="A37" s="35" t="s">
        <v>30</v>
      </c>
      <c r="B37" s="6">
        <f t="shared" si="20"/>
        <v>442317.98000000004</v>
      </c>
      <c r="C37" s="6"/>
      <c r="D37" s="6"/>
      <c r="E37" s="6">
        <f t="shared" si="17"/>
        <v>442317.98000000004</v>
      </c>
      <c r="F37" s="15"/>
      <c r="G37" s="17">
        <f t="shared" si="18"/>
        <v>0</v>
      </c>
      <c r="H37" s="57">
        <f t="shared" si="19"/>
        <v>442317.98000000004</v>
      </c>
      <c r="I37" s="56"/>
    </row>
    <row r="38" spans="1:10" ht="15" thickBot="1" x14ac:dyDescent="0.35">
      <c r="A38" s="35" t="s">
        <v>28</v>
      </c>
      <c r="B38" s="6">
        <f t="shared" si="20"/>
        <v>945111.97000000009</v>
      </c>
      <c r="C38" s="6"/>
      <c r="D38" s="6"/>
      <c r="E38" s="6">
        <f t="shared" si="17"/>
        <v>945111.97000000009</v>
      </c>
      <c r="F38" s="15"/>
      <c r="G38" s="17">
        <f t="shared" si="18"/>
        <v>0</v>
      </c>
      <c r="H38" s="57">
        <f t="shared" si="19"/>
        <v>945111.97000000009</v>
      </c>
      <c r="I38" s="56"/>
    </row>
    <row r="39" spans="1:10" ht="15" thickBot="1" x14ac:dyDescent="0.35">
      <c r="A39" s="35" t="s">
        <v>12</v>
      </c>
      <c r="B39" s="6">
        <f t="shared" si="20"/>
        <v>361345.84</v>
      </c>
      <c r="C39" s="6"/>
      <c r="D39" s="6"/>
      <c r="E39" s="6">
        <f t="shared" si="17"/>
        <v>361345.84</v>
      </c>
      <c r="F39" s="15"/>
      <c r="G39" s="17">
        <f t="shared" si="18"/>
        <v>0</v>
      </c>
      <c r="H39" s="57">
        <f t="shared" si="19"/>
        <v>361345.84</v>
      </c>
      <c r="I39" s="56"/>
    </row>
    <row r="40" spans="1:10" ht="15" thickBot="1" x14ac:dyDescent="0.35">
      <c r="A40" s="120" t="s">
        <v>36</v>
      </c>
      <c r="B40" s="6">
        <f t="shared" si="20"/>
        <v>23384.9</v>
      </c>
      <c r="C40" s="8"/>
      <c r="D40" s="6"/>
      <c r="E40" s="6">
        <f t="shared" si="17"/>
        <v>23384.9</v>
      </c>
      <c r="F40" s="15"/>
      <c r="G40" s="17">
        <f t="shared" si="18"/>
        <v>0</v>
      </c>
      <c r="H40" s="57">
        <f t="shared" si="19"/>
        <v>23384.9</v>
      </c>
    </row>
    <row r="41" spans="1:10" ht="15" thickBot="1" x14ac:dyDescent="0.35">
      <c r="A41" s="120"/>
      <c r="B41" s="6">
        <f t="shared" si="20"/>
        <v>0</v>
      </c>
      <c r="C41" s="8"/>
      <c r="D41" s="6"/>
      <c r="E41" s="6"/>
      <c r="F41" s="15"/>
      <c r="G41" s="17">
        <f t="shared" si="18"/>
        <v>0</v>
      </c>
      <c r="H41" s="57">
        <f>F41+E41</f>
        <v>0</v>
      </c>
    </row>
    <row r="42" spans="1:10" ht="15" thickBot="1" x14ac:dyDescent="0.35">
      <c r="A42" s="82" t="s">
        <v>6</v>
      </c>
      <c r="B42" s="83">
        <f t="shared" ref="B42:H42" si="21">SUM(B35:B41)</f>
        <v>4787260.9000000004</v>
      </c>
      <c r="C42" s="83">
        <f t="shared" si="21"/>
        <v>0</v>
      </c>
      <c r="D42" s="83">
        <f t="shared" si="21"/>
        <v>0</v>
      </c>
      <c r="E42" s="83">
        <f t="shared" si="21"/>
        <v>4787260.9000000004</v>
      </c>
      <c r="F42" s="83">
        <f t="shared" si="21"/>
        <v>0</v>
      </c>
      <c r="G42" s="83">
        <f t="shared" si="21"/>
        <v>0</v>
      </c>
      <c r="H42" s="83">
        <f t="shared" si="21"/>
        <v>4787260.9000000004</v>
      </c>
    </row>
    <row r="43" spans="1:10" ht="15" thickBot="1" x14ac:dyDescent="0.35"/>
    <row r="44" spans="1:10" ht="29.4" thickBot="1" x14ac:dyDescent="0.35">
      <c r="A44" s="84">
        <v>46143</v>
      </c>
      <c r="B44" s="85" t="s">
        <v>4</v>
      </c>
      <c r="C44" s="85" t="s">
        <v>0</v>
      </c>
      <c r="D44" s="85" t="s">
        <v>5</v>
      </c>
      <c r="E44" s="86" t="s">
        <v>8</v>
      </c>
      <c r="F44" s="87" t="s">
        <v>10</v>
      </c>
      <c r="G44" s="88" t="s">
        <v>9</v>
      </c>
      <c r="H44" s="89" t="s">
        <v>60</v>
      </c>
    </row>
    <row r="45" spans="1:10" ht="15" thickBot="1" x14ac:dyDescent="0.35">
      <c r="A45" s="35" t="s">
        <v>27</v>
      </c>
      <c r="B45" s="6">
        <f>H35</f>
        <v>2745923.8</v>
      </c>
      <c r="C45" s="6"/>
      <c r="D45" s="6"/>
      <c r="E45" s="6">
        <f t="shared" ref="E45:E50" si="22">B45+C45-D45</f>
        <v>2745923.8</v>
      </c>
      <c r="F45" s="15"/>
      <c r="G45" s="17">
        <f t="shared" ref="G45:G51" si="23">IFERROR(F45/B45,0)</f>
        <v>0</v>
      </c>
      <c r="H45" s="57">
        <f t="shared" ref="H45:H50" si="24">F45+E45</f>
        <v>2745923.8</v>
      </c>
      <c r="J45" s="56"/>
    </row>
    <row r="46" spans="1:10" ht="29.4" thickBot="1" x14ac:dyDescent="0.35">
      <c r="A46" s="35" t="s">
        <v>29</v>
      </c>
      <c r="B46" s="6">
        <f t="shared" ref="B46:B51" si="25">H36</f>
        <v>269176.40999999997</v>
      </c>
      <c r="C46" s="6"/>
      <c r="D46" s="6"/>
      <c r="E46" s="6">
        <f t="shared" si="22"/>
        <v>269176.40999999997</v>
      </c>
      <c r="F46" s="15"/>
      <c r="G46" s="17">
        <f t="shared" si="23"/>
        <v>0</v>
      </c>
      <c r="H46" s="57">
        <f t="shared" si="24"/>
        <v>269176.40999999997</v>
      </c>
      <c r="J46" s="56"/>
    </row>
    <row r="47" spans="1:10" ht="29.4" thickBot="1" x14ac:dyDescent="0.35">
      <c r="A47" s="35" t="s">
        <v>30</v>
      </c>
      <c r="B47" s="6">
        <f t="shared" si="25"/>
        <v>442317.98000000004</v>
      </c>
      <c r="C47" s="6"/>
      <c r="D47" s="6"/>
      <c r="E47" s="6">
        <f t="shared" si="22"/>
        <v>442317.98000000004</v>
      </c>
      <c r="F47" s="15"/>
      <c r="G47" s="17">
        <f t="shared" si="23"/>
        <v>0</v>
      </c>
      <c r="H47" s="57">
        <f t="shared" si="24"/>
        <v>442317.98000000004</v>
      </c>
      <c r="J47" s="56"/>
    </row>
    <row r="48" spans="1:10" ht="15" thickBot="1" x14ac:dyDescent="0.35">
      <c r="A48" s="35" t="s">
        <v>28</v>
      </c>
      <c r="B48" s="6">
        <f t="shared" si="25"/>
        <v>945111.97000000009</v>
      </c>
      <c r="C48" s="6"/>
      <c r="D48" s="6"/>
      <c r="E48" s="6">
        <f t="shared" si="22"/>
        <v>945111.97000000009</v>
      </c>
      <c r="F48" s="15"/>
      <c r="G48" s="17">
        <f t="shared" si="23"/>
        <v>0</v>
      </c>
      <c r="H48" s="57">
        <f t="shared" si="24"/>
        <v>945111.97000000009</v>
      </c>
      <c r="J48" s="56"/>
    </row>
    <row r="49" spans="1:39" ht="15" thickBot="1" x14ac:dyDescent="0.35">
      <c r="A49" s="35" t="s">
        <v>12</v>
      </c>
      <c r="B49" s="6">
        <f t="shared" si="25"/>
        <v>361345.84</v>
      </c>
      <c r="C49" s="6"/>
      <c r="D49" s="6"/>
      <c r="E49" s="6">
        <f t="shared" si="22"/>
        <v>361345.84</v>
      </c>
      <c r="F49" s="15"/>
      <c r="G49" s="17">
        <f t="shared" si="23"/>
        <v>0</v>
      </c>
      <c r="H49" s="57">
        <f t="shared" si="24"/>
        <v>361345.84</v>
      </c>
      <c r="J49" s="56"/>
    </row>
    <row r="50" spans="1:39" ht="15" thickBot="1" x14ac:dyDescent="0.35">
      <c r="A50" s="120" t="s">
        <v>36</v>
      </c>
      <c r="B50" s="6">
        <f t="shared" si="25"/>
        <v>23384.9</v>
      </c>
      <c r="C50" s="8"/>
      <c r="D50" s="6"/>
      <c r="E50" s="6">
        <f t="shared" si="22"/>
        <v>23384.9</v>
      </c>
      <c r="F50" s="15"/>
      <c r="G50" s="17">
        <f t="shared" si="23"/>
        <v>0</v>
      </c>
      <c r="H50" s="57">
        <f t="shared" si="24"/>
        <v>23384.9</v>
      </c>
    </row>
    <row r="51" spans="1:39" ht="15" thickBot="1" x14ac:dyDescent="0.35">
      <c r="A51" s="120"/>
      <c r="B51" s="6">
        <f t="shared" si="25"/>
        <v>0</v>
      </c>
      <c r="C51" s="8"/>
      <c r="D51" s="6"/>
      <c r="E51" s="6"/>
      <c r="F51" s="15"/>
      <c r="G51" s="17">
        <f t="shared" si="23"/>
        <v>0</v>
      </c>
      <c r="H51" s="57">
        <f>F51+E51</f>
        <v>0</v>
      </c>
    </row>
    <row r="52" spans="1:39" ht="15" thickBot="1" x14ac:dyDescent="0.35">
      <c r="A52" s="82" t="s">
        <v>6</v>
      </c>
      <c r="B52" s="83">
        <f t="shared" ref="B52:H52" si="26">SUM(B45:B51)</f>
        <v>4787260.9000000004</v>
      </c>
      <c r="C52" s="83">
        <f t="shared" si="26"/>
        <v>0</v>
      </c>
      <c r="D52" s="83">
        <f t="shared" si="26"/>
        <v>0</v>
      </c>
      <c r="E52" s="83">
        <f t="shared" si="26"/>
        <v>4787260.9000000004</v>
      </c>
      <c r="F52" s="83">
        <f t="shared" si="26"/>
        <v>0</v>
      </c>
      <c r="G52" s="83">
        <f t="shared" si="26"/>
        <v>0</v>
      </c>
      <c r="H52" s="83">
        <f t="shared" si="26"/>
        <v>4787260.9000000004</v>
      </c>
    </row>
    <row r="53" spans="1:39" ht="15" thickBot="1" x14ac:dyDescent="0.35"/>
    <row r="54" spans="1:39" ht="29.4" thickBot="1" x14ac:dyDescent="0.35">
      <c r="A54" s="84">
        <v>46174</v>
      </c>
      <c r="B54" s="85" t="s">
        <v>4</v>
      </c>
      <c r="C54" s="85" t="s">
        <v>0</v>
      </c>
      <c r="D54" s="85" t="s">
        <v>5</v>
      </c>
      <c r="E54" s="86" t="s">
        <v>8</v>
      </c>
      <c r="F54" s="87" t="s">
        <v>10</v>
      </c>
      <c r="G54" s="88" t="s">
        <v>9</v>
      </c>
      <c r="H54" s="89" t="s">
        <v>61</v>
      </c>
    </row>
    <row r="55" spans="1:39" ht="15" thickBot="1" x14ac:dyDescent="0.35">
      <c r="A55" s="35" t="s">
        <v>27</v>
      </c>
      <c r="B55" s="6">
        <f>H45</f>
        <v>2745923.8</v>
      </c>
      <c r="C55" s="6"/>
      <c r="D55" s="6"/>
      <c r="E55" s="6">
        <f t="shared" ref="E55:E60" si="27">B55+C55-D55</f>
        <v>2745923.8</v>
      </c>
      <c r="F55" s="15"/>
      <c r="G55" s="17">
        <f t="shared" ref="G55:G61" si="28">IFERROR(F55/B55,0)</f>
        <v>0</v>
      </c>
      <c r="H55" s="57">
        <f t="shared" ref="H55:H60" si="29">F55+E55</f>
        <v>2745923.8</v>
      </c>
      <c r="J55" s="56"/>
    </row>
    <row r="56" spans="1:39" ht="29.4" thickBot="1" x14ac:dyDescent="0.35">
      <c r="A56" s="35" t="s">
        <v>29</v>
      </c>
      <c r="B56" s="6">
        <f t="shared" ref="B56:B61" si="30">H46</f>
        <v>269176.40999999997</v>
      </c>
      <c r="C56" s="6"/>
      <c r="D56" s="6"/>
      <c r="E56" s="6">
        <f t="shared" si="27"/>
        <v>269176.40999999997</v>
      </c>
      <c r="F56" s="15"/>
      <c r="G56" s="17">
        <f t="shared" si="28"/>
        <v>0</v>
      </c>
      <c r="H56" s="57">
        <f t="shared" si="29"/>
        <v>269176.40999999997</v>
      </c>
      <c r="J56" s="56"/>
    </row>
    <row r="57" spans="1:39" ht="29.4" thickBot="1" x14ac:dyDescent="0.35">
      <c r="A57" s="35" t="s">
        <v>30</v>
      </c>
      <c r="B57" s="6">
        <f t="shared" si="30"/>
        <v>442317.98000000004</v>
      </c>
      <c r="C57" s="6"/>
      <c r="D57" s="6"/>
      <c r="E57" s="6">
        <f t="shared" si="27"/>
        <v>442317.98000000004</v>
      </c>
      <c r="F57" s="15"/>
      <c r="G57" s="17">
        <f t="shared" si="28"/>
        <v>0</v>
      </c>
      <c r="H57" s="57">
        <f t="shared" si="29"/>
        <v>442317.98000000004</v>
      </c>
      <c r="J57" s="56"/>
    </row>
    <row r="58" spans="1:39" ht="15" thickBot="1" x14ac:dyDescent="0.35">
      <c r="A58" s="35" t="s">
        <v>28</v>
      </c>
      <c r="B58" s="6">
        <f t="shared" si="30"/>
        <v>945111.97000000009</v>
      </c>
      <c r="C58" s="6"/>
      <c r="D58" s="6"/>
      <c r="E58" s="6">
        <f t="shared" si="27"/>
        <v>945111.97000000009</v>
      </c>
      <c r="F58" s="15"/>
      <c r="G58" s="17">
        <f t="shared" si="28"/>
        <v>0</v>
      </c>
      <c r="H58" s="57">
        <f t="shared" si="29"/>
        <v>945111.97000000009</v>
      </c>
      <c r="J58" s="56"/>
      <c r="AM58" s="6"/>
    </row>
    <row r="59" spans="1:39" ht="15" thickBot="1" x14ac:dyDescent="0.35">
      <c r="A59" s="35" t="s">
        <v>12</v>
      </c>
      <c r="B59" s="6">
        <f t="shared" si="30"/>
        <v>361345.84</v>
      </c>
      <c r="C59" s="6"/>
      <c r="D59" s="6"/>
      <c r="E59" s="6">
        <f t="shared" si="27"/>
        <v>361345.84</v>
      </c>
      <c r="F59" s="15"/>
      <c r="G59" s="17">
        <f t="shared" si="28"/>
        <v>0</v>
      </c>
      <c r="H59" s="57">
        <f t="shared" si="29"/>
        <v>361345.84</v>
      </c>
      <c r="J59" s="56"/>
    </row>
    <row r="60" spans="1:39" ht="15" thickBot="1" x14ac:dyDescent="0.35">
      <c r="A60" s="120" t="s">
        <v>36</v>
      </c>
      <c r="B60" s="6">
        <f t="shared" si="30"/>
        <v>23384.9</v>
      </c>
      <c r="C60" s="8"/>
      <c r="D60" s="6"/>
      <c r="E60" s="6">
        <f t="shared" si="27"/>
        <v>23384.9</v>
      </c>
      <c r="F60" s="15"/>
      <c r="G60" s="17">
        <f t="shared" si="28"/>
        <v>0</v>
      </c>
      <c r="H60" s="57">
        <f t="shared" si="29"/>
        <v>23384.9</v>
      </c>
      <c r="J60" s="56"/>
    </row>
    <row r="61" spans="1:39" ht="15" thickBot="1" x14ac:dyDescent="0.35">
      <c r="A61" s="120"/>
      <c r="B61" s="6">
        <f t="shared" si="30"/>
        <v>0</v>
      </c>
      <c r="C61" s="8"/>
      <c r="D61" s="6"/>
      <c r="E61" s="6"/>
      <c r="F61" s="15"/>
      <c r="G61" s="17">
        <f t="shared" si="28"/>
        <v>0</v>
      </c>
      <c r="H61" s="57">
        <f>F61+E61</f>
        <v>0</v>
      </c>
      <c r="J61" s="56"/>
    </row>
    <row r="62" spans="1:39" ht="15" thickBot="1" x14ac:dyDescent="0.35">
      <c r="A62" s="82" t="s">
        <v>6</v>
      </c>
      <c r="B62" s="83">
        <f t="shared" ref="B62:H62" si="31">SUM(B55:B61)</f>
        <v>4787260.9000000004</v>
      </c>
      <c r="C62" s="83">
        <f t="shared" si="31"/>
        <v>0</v>
      </c>
      <c r="D62" s="83">
        <f t="shared" si="31"/>
        <v>0</v>
      </c>
      <c r="E62" s="83">
        <f t="shared" si="31"/>
        <v>4787260.9000000004</v>
      </c>
      <c r="F62" s="83">
        <f t="shared" si="31"/>
        <v>0</v>
      </c>
      <c r="G62" s="124">
        <f t="shared" si="31"/>
        <v>0</v>
      </c>
      <c r="H62" s="83">
        <f t="shared" si="31"/>
        <v>4787260.9000000004</v>
      </c>
    </row>
    <row r="63" spans="1:39" ht="15" thickBot="1" x14ac:dyDescent="0.35"/>
    <row r="64" spans="1:39" ht="29.4" thickBot="1" x14ac:dyDescent="0.35">
      <c r="A64" s="84">
        <v>46204</v>
      </c>
      <c r="B64" s="85" t="s">
        <v>4</v>
      </c>
      <c r="C64" s="85" t="s">
        <v>0</v>
      </c>
      <c r="D64" s="85" t="s">
        <v>5</v>
      </c>
      <c r="E64" s="86" t="s">
        <v>8</v>
      </c>
      <c r="F64" s="87" t="s">
        <v>10</v>
      </c>
      <c r="G64" s="88" t="s">
        <v>9</v>
      </c>
      <c r="H64" s="89" t="s">
        <v>62</v>
      </c>
    </row>
    <row r="65" spans="1:10" ht="15" thickBot="1" x14ac:dyDescent="0.35">
      <c r="A65" s="35" t="s">
        <v>27</v>
      </c>
      <c r="B65" s="6">
        <f>H55</f>
        <v>2745923.8</v>
      </c>
      <c r="C65" s="6"/>
      <c r="D65" s="6"/>
      <c r="E65" s="6">
        <f t="shared" ref="E65:E70" si="32">B65+C65-D65</f>
        <v>2745923.8</v>
      </c>
      <c r="F65" s="15"/>
      <c r="G65" s="17">
        <f t="shared" ref="G65:G71" si="33">IFERROR(F65/B65,0)</f>
        <v>0</v>
      </c>
      <c r="H65" s="57">
        <f t="shared" ref="H65:H70" si="34">F65+E65</f>
        <v>2745923.8</v>
      </c>
      <c r="I65" s="56"/>
      <c r="J65" s="56"/>
    </row>
    <row r="66" spans="1:10" ht="29.4" thickBot="1" x14ac:dyDescent="0.35">
      <c r="A66" s="35" t="s">
        <v>29</v>
      </c>
      <c r="B66" s="6">
        <f t="shared" ref="B66:B71" si="35">H56</f>
        <v>269176.40999999997</v>
      </c>
      <c r="C66" s="6"/>
      <c r="D66" s="6"/>
      <c r="E66" s="6">
        <f t="shared" si="32"/>
        <v>269176.40999999997</v>
      </c>
      <c r="F66" s="15"/>
      <c r="G66" s="17">
        <f t="shared" si="33"/>
        <v>0</v>
      </c>
      <c r="H66" s="57">
        <f t="shared" si="34"/>
        <v>269176.40999999997</v>
      </c>
      <c r="J66" s="56"/>
    </row>
    <row r="67" spans="1:10" ht="29.4" thickBot="1" x14ac:dyDescent="0.35">
      <c r="A67" s="35" t="s">
        <v>30</v>
      </c>
      <c r="B67" s="6">
        <f t="shared" si="35"/>
        <v>442317.98000000004</v>
      </c>
      <c r="C67" s="6"/>
      <c r="D67" s="6"/>
      <c r="E67" s="6">
        <f t="shared" si="32"/>
        <v>442317.98000000004</v>
      </c>
      <c r="F67" s="15"/>
      <c r="G67" s="17">
        <f t="shared" si="33"/>
        <v>0</v>
      </c>
      <c r="H67" s="57">
        <f t="shared" si="34"/>
        <v>442317.98000000004</v>
      </c>
      <c r="J67" s="56"/>
    </row>
    <row r="68" spans="1:10" ht="15" thickBot="1" x14ac:dyDescent="0.35">
      <c r="A68" s="35" t="s">
        <v>28</v>
      </c>
      <c r="B68" s="6">
        <f t="shared" si="35"/>
        <v>945111.97000000009</v>
      </c>
      <c r="C68" s="6"/>
      <c r="D68" s="6"/>
      <c r="E68" s="6">
        <f t="shared" si="32"/>
        <v>945111.97000000009</v>
      </c>
      <c r="F68" s="15"/>
      <c r="G68" s="17">
        <f t="shared" si="33"/>
        <v>0</v>
      </c>
      <c r="H68" s="57">
        <f t="shared" si="34"/>
        <v>945111.97000000009</v>
      </c>
      <c r="J68" s="56"/>
    </row>
    <row r="69" spans="1:10" ht="15" thickBot="1" x14ac:dyDescent="0.35">
      <c r="A69" s="35" t="s">
        <v>12</v>
      </c>
      <c r="B69" s="6">
        <f t="shared" si="35"/>
        <v>361345.84</v>
      </c>
      <c r="C69" s="6"/>
      <c r="D69" s="6"/>
      <c r="E69" s="6">
        <f t="shared" si="32"/>
        <v>361345.84</v>
      </c>
      <c r="F69" s="15"/>
      <c r="G69" s="17">
        <f t="shared" si="33"/>
        <v>0</v>
      </c>
      <c r="H69" s="57">
        <f t="shared" si="34"/>
        <v>361345.84</v>
      </c>
      <c r="J69" s="56"/>
    </row>
    <row r="70" spans="1:10" ht="15" thickBot="1" x14ac:dyDescent="0.35">
      <c r="A70" s="120" t="s">
        <v>36</v>
      </c>
      <c r="B70" s="6">
        <f t="shared" si="35"/>
        <v>23384.9</v>
      </c>
      <c r="C70" s="8"/>
      <c r="D70" s="6"/>
      <c r="E70" s="6">
        <f t="shared" si="32"/>
        <v>23384.9</v>
      </c>
      <c r="F70" s="15"/>
      <c r="G70" s="17">
        <f t="shared" si="33"/>
        <v>0</v>
      </c>
      <c r="H70" s="57">
        <f t="shared" si="34"/>
        <v>23384.9</v>
      </c>
      <c r="J70" s="56"/>
    </row>
    <row r="71" spans="1:10" ht="15" thickBot="1" x14ac:dyDescent="0.35">
      <c r="A71" s="120"/>
      <c r="B71" s="6">
        <f t="shared" si="35"/>
        <v>0</v>
      </c>
      <c r="C71" s="8"/>
      <c r="D71" s="6"/>
      <c r="E71" s="6"/>
      <c r="F71" s="15"/>
      <c r="G71" s="17">
        <f t="shared" si="33"/>
        <v>0</v>
      </c>
      <c r="H71" s="57">
        <f>F71+E71</f>
        <v>0</v>
      </c>
      <c r="J71" s="56"/>
    </row>
    <row r="72" spans="1:10" ht="15" thickBot="1" x14ac:dyDescent="0.35">
      <c r="A72" s="82" t="s">
        <v>6</v>
      </c>
      <c r="B72" s="83">
        <f t="shared" ref="B72:H72" si="36">SUM(B65:B71)</f>
        <v>4787260.9000000004</v>
      </c>
      <c r="C72" s="83">
        <f t="shared" si="36"/>
        <v>0</v>
      </c>
      <c r="D72" s="83">
        <f t="shared" si="36"/>
        <v>0</v>
      </c>
      <c r="E72" s="83">
        <f t="shared" si="36"/>
        <v>4787260.9000000004</v>
      </c>
      <c r="F72" s="83">
        <f t="shared" si="36"/>
        <v>0</v>
      </c>
      <c r="G72" s="83">
        <f t="shared" si="36"/>
        <v>0</v>
      </c>
      <c r="H72" s="83">
        <f t="shared" si="36"/>
        <v>4787260.9000000004</v>
      </c>
    </row>
    <row r="73" spans="1:10" ht="15" thickBot="1" x14ac:dyDescent="0.35"/>
    <row r="74" spans="1:10" ht="29.4" thickBot="1" x14ac:dyDescent="0.35">
      <c r="A74" s="84">
        <v>46235</v>
      </c>
      <c r="B74" s="85" t="s">
        <v>4</v>
      </c>
      <c r="C74" s="85" t="s">
        <v>0</v>
      </c>
      <c r="D74" s="85" t="s">
        <v>5</v>
      </c>
      <c r="E74" s="86" t="s">
        <v>8</v>
      </c>
      <c r="F74" s="87" t="s">
        <v>10</v>
      </c>
      <c r="G74" s="88" t="s">
        <v>9</v>
      </c>
      <c r="H74" s="89" t="s">
        <v>63</v>
      </c>
    </row>
    <row r="75" spans="1:10" ht="15" thickBot="1" x14ac:dyDescent="0.35">
      <c r="A75" s="35" t="s">
        <v>27</v>
      </c>
      <c r="B75" s="6">
        <f>H65</f>
        <v>2745923.8</v>
      </c>
      <c r="C75" s="6"/>
      <c r="D75" s="6"/>
      <c r="E75" s="6">
        <f t="shared" ref="E75:E80" si="37">B75+C75-D75</f>
        <v>2745923.8</v>
      </c>
      <c r="F75" s="15"/>
      <c r="G75" s="17">
        <f t="shared" ref="G75:G81" si="38">IFERROR(F75/B75,0)</f>
        <v>0</v>
      </c>
      <c r="H75" s="57">
        <f t="shared" ref="H75:H80" si="39">F75+E75</f>
        <v>2745923.8</v>
      </c>
      <c r="I75" s="56"/>
    </row>
    <row r="76" spans="1:10" ht="29.4" thickBot="1" x14ac:dyDescent="0.35">
      <c r="A76" s="35" t="s">
        <v>29</v>
      </c>
      <c r="B76" s="6">
        <f t="shared" ref="B76:B81" si="40">H66</f>
        <v>269176.40999999997</v>
      </c>
      <c r="C76" s="6"/>
      <c r="D76" s="6"/>
      <c r="E76" s="6">
        <f t="shared" si="37"/>
        <v>269176.40999999997</v>
      </c>
      <c r="F76" s="15"/>
      <c r="G76" s="17">
        <f t="shared" si="38"/>
        <v>0</v>
      </c>
      <c r="H76" s="57">
        <f t="shared" si="39"/>
        <v>269176.40999999997</v>
      </c>
      <c r="I76" s="56"/>
    </row>
    <row r="77" spans="1:10" ht="29.4" thickBot="1" x14ac:dyDescent="0.35">
      <c r="A77" s="35" t="s">
        <v>30</v>
      </c>
      <c r="B77" s="6">
        <f t="shared" si="40"/>
        <v>442317.98000000004</v>
      </c>
      <c r="C77" s="6"/>
      <c r="D77" s="6"/>
      <c r="E77" s="6">
        <f t="shared" si="37"/>
        <v>442317.98000000004</v>
      </c>
      <c r="F77" s="15"/>
      <c r="G77" s="17">
        <f t="shared" si="38"/>
        <v>0</v>
      </c>
      <c r="H77" s="57">
        <f t="shared" si="39"/>
        <v>442317.98000000004</v>
      </c>
      <c r="I77" s="56"/>
    </row>
    <row r="78" spans="1:10" ht="15" thickBot="1" x14ac:dyDescent="0.35">
      <c r="A78" s="35" t="s">
        <v>28</v>
      </c>
      <c r="B78" s="6">
        <f t="shared" si="40"/>
        <v>945111.97000000009</v>
      </c>
      <c r="C78" s="6"/>
      <c r="D78" s="6"/>
      <c r="E78" s="6">
        <f t="shared" si="37"/>
        <v>945111.97000000009</v>
      </c>
      <c r="F78" s="15"/>
      <c r="G78" s="17">
        <f t="shared" si="38"/>
        <v>0</v>
      </c>
      <c r="H78" s="57">
        <f t="shared" si="39"/>
        <v>945111.97000000009</v>
      </c>
      <c r="I78" s="56"/>
    </row>
    <row r="79" spans="1:10" ht="15" thickBot="1" x14ac:dyDescent="0.35">
      <c r="A79" s="35" t="s">
        <v>12</v>
      </c>
      <c r="B79" s="6">
        <f t="shared" si="40"/>
        <v>361345.84</v>
      </c>
      <c r="C79" s="6"/>
      <c r="D79" s="6"/>
      <c r="E79" s="6">
        <f t="shared" si="37"/>
        <v>361345.84</v>
      </c>
      <c r="F79" s="15"/>
      <c r="G79" s="17">
        <f t="shared" si="38"/>
        <v>0</v>
      </c>
      <c r="H79" s="57">
        <f t="shared" si="39"/>
        <v>361345.84</v>
      </c>
      <c r="I79" s="56"/>
    </row>
    <row r="80" spans="1:10" ht="15" thickBot="1" x14ac:dyDescent="0.35">
      <c r="A80" s="120" t="s">
        <v>36</v>
      </c>
      <c r="B80" s="6">
        <f t="shared" si="40"/>
        <v>23384.9</v>
      </c>
      <c r="C80" s="8"/>
      <c r="D80" s="6"/>
      <c r="E80" s="6">
        <f t="shared" si="37"/>
        <v>23384.9</v>
      </c>
      <c r="F80" s="15"/>
      <c r="G80" s="17">
        <f t="shared" si="38"/>
        <v>0</v>
      </c>
      <c r="H80" s="57">
        <f t="shared" si="39"/>
        <v>23384.9</v>
      </c>
      <c r="I80" s="56"/>
    </row>
    <row r="81" spans="1:9" ht="15" thickBot="1" x14ac:dyDescent="0.35">
      <c r="A81" s="120"/>
      <c r="B81" s="6">
        <f t="shared" si="40"/>
        <v>0</v>
      </c>
      <c r="C81" s="8"/>
      <c r="D81" s="6"/>
      <c r="E81" s="6"/>
      <c r="F81" s="15"/>
      <c r="G81" s="17">
        <f t="shared" si="38"/>
        <v>0</v>
      </c>
      <c r="H81" s="57">
        <f>F81+E81</f>
        <v>0</v>
      </c>
      <c r="I81" s="56"/>
    </row>
    <row r="82" spans="1:9" ht="15" thickBot="1" x14ac:dyDescent="0.35">
      <c r="A82" s="82" t="s">
        <v>6</v>
      </c>
      <c r="B82" s="83">
        <f t="shared" ref="B82:H82" si="41">SUM(B75:B81)</f>
        <v>4787260.9000000004</v>
      </c>
      <c r="C82" s="83">
        <f t="shared" si="41"/>
        <v>0</v>
      </c>
      <c r="D82" s="83">
        <f t="shared" si="41"/>
        <v>0</v>
      </c>
      <c r="E82" s="83">
        <f t="shared" si="41"/>
        <v>4787260.9000000004</v>
      </c>
      <c r="F82" s="83">
        <f t="shared" si="41"/>
        <v>0</v>
      </c>
      <c r="G82" s="83">
        <f t="shared" si="41"/>
        <v>0</v>
      </c>
      <c r="H82" s="83">
        <f t="shared" si="41"/>
        <v>4787260.9000000004</v>
      </c>
    </row>
    <row r="83" spans="1:9" ht="15" thickBot="1" x14ac:dyDescent="0.35"/>
    <row r="84" spans="1:9" ht="29.4" thickBot="1" x14ac:dyDescent="0.35">
      <c r="A84" s="84">
        <v>46266</v>
      </c>
      <c r="B84" s="85" t="s">
        <v>4</v>
      </c>
      <c r="C84" s="85" t="s">
        <v>0</v>
      </c>
      <c r="D84" s="85" t="s">
        <v>5</v>
      </c>
      <c r="E84" s="86" t="s">
        <v>8</v>
      </c>
      <c r="F84" s="87" t="s">
        <v>10</v>
      </c>
      <c r="G84" s="88" t="s">
        <v>9</v>
      </c>
      <c r="H84" s="89" t="s">
        <v>64</v>
      </c>
    </row>
    <row r="85" spans="1:9" ht="15" thickBot="1" x14ac:dyDescent="0.35">
      <c r="A85" s="35" t="s">
        <v>27</v>
      </c>
      <c r="B85" s="6">
        <f>H75</f>
        <v>2745923.8</v>
      </c>
      <c r="C85" s="6"/>
      <c r="D85" s="6"/>
      <c r="E85" s="6">
        <f t="shared" ref="E85:E90" si="42">B85+C85-D85</f>
        <v>2745923.8</v>
      </c>
      <c r="F85" s="15"/>
      <c r="G85" s="17">
        <f t="shared" ref="G85:G91" si="43">IFERROR(F85/B85,0)</f>
        <v>0</v>
      </c>
      <c r="H85" s="57">
        <f t="shared" ref="H85:H90" si="44">F85+E85</f>
        <v>2745923.8</v>
      </c>
      <c r="I85" s="56"/>
    </row>
    <row r="86" spans="1:9" ht="29.4" thickBot="1" x14ac:dyDescent="0.35">
      <c r="A86" s="35" t="s">
        <v>29</v>
      </c>
      <c r="B86" s="6">
        <f t="shared" ref="B86:B91" si="45">H76</f>
        <v>269176.40999999997</v>
      </c>
      <c r="C86" s="6"/>
      <c r="D86" s="6"/>
      <c r="E86" s="6">
        <f t="shared" si="42"/>
        <v>269176.40999999997</v>
      </c>
      <c r="F86" s="15"/>
      <c r="G86" s="17">
        <f t="shared" si="43"/>
        <v>0</v>
      </c>
      <c r="H86" s="57">
        <f t="shared" si="44"/>
        <v>269176.40999999997</v>
      </c>
      <c r="I86" s="56"/>
    </row>
    <row r="87" spans="1:9" ht="29.4" thickBot="1" x14ac:dyDescent="0.35">
      <c r="A87" s="35" t="s">
        <v>30</v>
      </c>
      <c r="B87" s="6">
        <f t="shared" si="45"/>
        <v>442317.98000000004</v>
      </c>
      <c r="C87" s="6"/>
      <c r="D87" s="6"/>
      <c r="E87" s="6">
        <f t="shared" si="42"/>
        <v>442317.98000000004</v>
      </c>
      <c r="F87" s="15"/>
      <c r="G87" s="17">
        <f t="shared" si="43"/>
        <v>0</v>
      </c>
      <c r="H87" s="57">
        <f t="shared" si="44"/>
        <v>442317.98000000004</v>
      </c>
      <c r="I87" s="56"/>
    </row>
    <row r="88" spans="1:9" ht="15" thickBot="1" x14ac:dyDescent="0.35">
      <c r="A88" s="35" t="s">
        <v>28</v>
      </c>
      <c r="B88" s="6">
        <f t="shared" si="45"/>
        <v>945111.97000000009</v>
      </c>
      <c r="C88" s="6"/>
      <c r="D88" s="6"/>
      <c r="E88" s="6">
        <f t="shared" si="42"/>
        <v>945111.97000000009</v>
      </c>
      <c r="F88" s="15"/>
      <c r="G88" s="17">
        <f t="shared" si="43"/>
        <v>0</v>
      </c>
      <c r="H88" s="57">
        <f t="shared" si="44"/>
        <v>945111.97000000009</v>
      </c>
      <c r="I88" s="56"/>
    </row>
    <row r="89" spans="1:9" ht="15" thickBot="1" x14ac:dyDescent="0.35">
      <c r="A89" s="35" t="s">
        <v>12</v>
      </c>
      <c r="B89" s="6">
        <f t="shared" si="45"/>
        <v>361345.84</v>
      </c>
      <c r="C89" s="6"/>
      <c r="D89" s="6"/>
      <c r="E89" s="6">
        <f t="shared" si="42"/>
        <v>361345.84</v>
      </c>
      <c r="F89" s="15"/>
      <c r="G89" s="17">
        <f t="shared" si="43"/>
        <v>0</v>
      </c>
      <c r="H89" s="57">
        <f t="shared" si="44"/>
        <v>361345.84</v>
      </c>
      <c r="I89" s="56"/>
    </row>
    <row r="90" spans="1:9" ht="15" thickBot="1" x14ac:dyDescent="0.35">
      <c r="A90" s="120" t="s">
        <v>36</v>
      </c>
      <c r="B90" s="6">
        <f t="shared" si="45"/>
        <v>23384.9</v>
      </c>
      <c r="C90" s="8"/>
      <c r="D90" s="6"/>
      <c r="E90" s="6">
        <f t="shared" si="42"/>
        <v>23384.9</v>
      </c>
      <c r="F90" s="15"/>
      <c r="G90" s="17">
        <f t="shared" si="43"/>
        <v>0</v>
      </c>
      <c r="H90" s="57">
        <f t="shared" si="44"/>
        <v>23384.9</v>
      </c>
      <c r="I90" s="56"/>
    </row>
    <row r="91" spans="1:9" ht="15" thickBot="1" x14ac:dyDescent="0.35">
      <c r="A91" s="120" t="s">
        <v>37</v>
      </c>
      <c r="B91" s="6">
        <f t="shared" si="45"/>
        <v>0</v>
      </c>
      <c r="C91" s="8"/>
      <c r="D91" s="6"/>
      <c r="E91" s="6"/>
      <c r="F91" s="15"/>
      <c r="G91" s="17">
        <f t="shared" si="43"/>
        <v>0</v>
      </c>
      <c r="H91" s="57">
        <f>F91+E91</f>
        <v>0</v>
      </c>
      <c r="I91" s="56"/>
    </row>
    <row r="92" spans="1:9" ht="15" thickBot="1" x14ac:dyDescent="0.35">
      <c r="A92" s="82" t="s">
        <v>6</v>
      </c>
      <c r="B92" s="83">
        <f t="shared" ref="B92:H92" si="46">SUM(B85:B91)</f>
        <v>4787260.9000000004</v>
      </c>
      <c r="C92" s="83">
        <f t="shared" si="46"/>
        <v>0</v>
      </c>
      <c r="D92" s="83">
        <f t="shared" si="46"/>
        <v>0</v>
      </c>
      <c r="E92" s="83">
        <f t="shared" si="46"/>
        <v>4787260.9000000004</v>
      </c>
      <c r="F92" s="83">
        <f t="shared" si="46"/>
        <v>0</v>
      </c>
      <c r="G92" s="83">
        <f t="shared" si="46"/>
        <v>0</v>
      </c>
      <c r="H92" s="83">
        <f t="shared" si="46"/>
        <v>4787260.9000000004</v>
      </c>
    </row>
    <row r="93" spans="1:9" ht="15" thickBot="1" x14ac:dyDescent="0.35"/>
    <row r="94" spans="1:9" ht="29.4" thickBot="1" x14ac:dyDescent="0.35">
      <c r="A94" s="84">
        <v>46296</v>
      </c>
      <c r="B94" s="85" t="s">
        <v>4</v>
      </c>
      <c r="C94" s="85" t="s">
        <v>0</v>
      </c>
      <c r="D94" s="85" t="s">
        <v>5</v>
      </c>
      <c r="E94" s="86" t="s">
        <v>8</v>
      </c>
      <c r="F94" s="87" t="s">
        <v>10</v>
      </c>
      <c r="G94" s="88" t="s">
        <v>9</v>
      </c>
      <c r="H94" s="89" t="s">
        <v>65</v>
      </c>
    </row>
    <row r="95" spans="1:9" ht="15" thickBot="1" x14ac:dyDescent="0.35">
      <c r="A95" s="35" t="s">
        <v>27</v>
      </c>
      <c r="B95" s="6">
        <f>H85</f>
        <v>2745923.8</v>
      </c>
      <c r="C95" s="6"/>
      <c r="D95" s="6"/>
      <c r="E95" s="6">
        <f t="shared" ref="E95:E100" si="47">B95+C95-D95</f>
        <v>2745923.8</v>
      </c>
      <c r="F95" s="15"/>
      <c r="G95" s="17">
        <f t="shared" ref="G95:G101" si="48">IFERROR(F95/B95,0)</f>
        <v>0</v>
      </c>
      <c r="H95" s="57">
        <f t="shared" ref="H95:H100" si="49">F95+E95</f>
        <v>2745923.8</v>
      </c>
      <c r="I95" s="56"/>
    </row>
    <row r="96" spans="1:9" ht="29.4" thickBot="1" x14ac:dyDescent="0.35">
      <c r="A96" s="35" t="s">
        <v>29</v>
      </c>
      <c r="B96" s="6">
        <f t="shared" ref="B96:B101" si="50">H86</f>
        <v>269176.40999999997</v>
      </c>
      <c r="C96" s="6"/>
      <c r="D96" s="6"/>
      <c r="E96" s="6">
        <f t="shared" si="47"/>
        <v>269176.40999999997</v>
      </c>
      <c r="F96" s="15"/>
      <c r="G96" s="17">
        <f t="shared" si="48"/>
        <v>0</v>
      </c>
      <c r="H96" s="57">
        <f t="shared" si="49"/>
        <v>269176.40999999997</v>
      </c>
      <c r="I96" s="56"/>
    </row>
    <row r="97" spans="1:9" ht="29.4" thickBot="1" x14ac:dyDescent="0.35">
      <c r="A97" s="35" t="s">
        <v>30</v>
      </c>
      <c r="B97" s="6">
        <f t="shared" si="50"/>
        <v>442317.98000000004</v>
      </c>
      <c r="C97" s="6"/>
      <c r="D97" s="6"/>
      <c r="E97" s="6">
        <f t="shared" si="47"/>
        <v>442317.98000000004</v>
      </c>
      <c r="F97" s="15"/>
      <c r="G97" s="17">
        <f t="shared" si="48"/>
        <v>0</v>
      </c>
      <c r="H97" s="57">
        <f t="shared" si="49"/>
        <v>442317.98000000004</v>
      </c>
      <c r="I97" s="56"/>
    </row>
    <row r="98" spans="1:9" ht="15" thickBot="1" x14ac:dyDescent="0.35">
      <c r="A98" s="35" t="s">
        <v>28</v>
      </c>
      <c r="B98" s="6">
        <f t="shared" si="50"/>
        <v>945111.97000000009</v>
      </c>
      <c r="C98" s="6"/>
      <c r="D98" s="6"/>
      <c r="E98" s="6">
        <f t="shared" si="47"/>
        <v>945111.97000000009</v>
      </c>
      <c r="F98" s="15"/>
      <c r="G98" s="17">
        <f t="shared" si="48"/>
        <v>0</v>
      </c>
      <c r="H98" s="57">
        <f t="shared" si="49"/>
        <v>945111.97000000009</v>
      </c>
      <c r="I98" s="56"/>
    </row>
    <row r="99" spans="1:9" ht="15" thickBot="1" x14ac:dyDescent="0.35">
      <c r="A99" s="35" t="s">
        <v>12</v>
      </c>
      <c r="B99" s="6">
        <f t="shared" si="50"/>
        <v>361345.84</v>
      </c>
      <c r="C99" s="6"/>
      <c r="D99" s="6"/>
      <c r="E99" s="6">
        <f t="shared" si="47"/>
        <v>361345.84</v>
      </c>
      <c r="F99" s="15"/>
      <c r="G99" s="17">
        <f t="shared" si="48"/>
        <v>0</v>
      </c>
      <c r="H99" s="57">
        <f t="shared" si="49"/>
        <v>361345.84</v>
      </c>
      <c r="I99" s="56"/>
    </row>
    <row r="100" spans="1:9" ht="15" thickBot="1" x14ac:dyDescent="0.35">
      <c r="A100" s="120" t="s">
        <v>36</v>
      </c>
      <c r="B100" s="6">
        <f t="shared" si="50"/>
        <v>23384.9</v>
      </c>
      <c r="C100" s="8"/>
      <c r="D100" s="6"/>
      <c r="E100" s="6">
        <f t="shared" si="47"/>
        <v>23384.9</v>
      </c>
      <c r="F100" s="15"/>
      <c r="G100" s="17">
        <f t="shared" si="48"/>
        <v>0</v>
      </c>
      <c r="H100" s="57">
        <f t="shared" si="49"/>
        <v>23384.9</v>
      </c>
      <c r="I100" s="56"/>
    </row>
    <row r="101" spans="1:9" ht="15" thickBot="1" x14ac:dyDescent="0.35">
      <c r="A101" s="120"/>
      <c r="B101" s="6">
        <f t="shared" si="50"/>
        <v>0</v>
      </c>
      <c r="C101" s="8"/>
      <c r="D101" s="6"/>
      <c r="E101" s="6"/>
      <c r="F101" s="15"/>
      <c r="G101" s="17">
        <f t="shared" si="48"/>
        <v>0</v>
      </c>
      <c r="H101" s="57">
        <f>F101+E101</f>
        <v>0</v>
      </c>
      <c r="I101" s="56"/>
    </row>
    <row r="102" spans="1:9" ht="15" thickBot="1" x14ac:dyDescent="0.35">
      <c r="A102" s="82" t="s">
        <v>6</v>
      </c>
      <c r="B102" s="83">
        <f t="shared" ref="B102:H102" si="51">SUM(B95:B101)</f>
        <v>4787260.9000000004</v>
      </c>
      <c r="C102" s="83">
        <f t="shared" si="51"/>
        <v>0</v>
      </c>
      <c r="D102" s="83">
        <f t="shared" si="51"/>
        <v>0</v>
      </c>
      <c r="E102" s="83">
        <f t="shared" si="51"/>
        <v>4787260.9000000004</v>
      </c>
      <c r="F102" s="83">
        <f t="shared" si="51"/>
        <v>0</v>
      </c>
      <c r="G102" s="83">
        <f t="shared" si="51"/>
        <v>0</v>
      </c>
      <c r="H102" s="83">
        <f t="shared" si="51"/>
        <v>4787260.9000000004</v>
      </c>
    </row>
    <row r="103" spans="1:9" ht="15" thickBot="1" x14ac:dyDescent="0.35"/>
    <row r="104" spans="1:9" ht="29.4" thickBot="1" x14ac:dyDescent="0.35">
      <c r="A104" s="84">
        <v>46327</v>
      </c>
      <c r="B104" s="85" t="s">
        <v>4</v>
      </c>
      <c r="C104" s="85" t="s">
        <v>0</v>
      </c>
      <c r="D104" s="85" t="s">
        <v>5</v>
      </c>
      <c r="E104" s="86" t="s">
        <v>8</v>
      </c>
      <c r="F104" s="87" t="s">
        <v>10</v>
      </c>
      <c r="G104" s="88" t="s">
        <v>9</v>
      </c>
      <c r="H104" s="89" t="s">
        <v>54</v>
      </c>
    </row>
    <row r="105" spans="1:9" ht="15" thickBot="1" x14ac:dyDescent="0.35">
      <c r="A105" s="35" t="s">
        <v>27</v>
      </c>
      <c r="B105" s="6">
        <f>H95</f>
        <v>2745923.8</v>
      </c>
      <c r="C105" s="6"/>
      <c r="D105" s="6"/>
      <c r="E105" s="6">
        <f t="shared" ref="E105:E110" si="52">B105+C105-D105</f>
        <v>2745923.8</v>
      </c>
      <c r="F105" s="15"/>
      <c r="G105" s="17">
        <f t="shared" ref="G105:G111" si="53">IFERROR(F105/B105,0)</f>
        <v>0</v>
      </c>
      <c r="H105" s="57">
        <f t="shared" ref="H105:H110" si="54">F105+E105</f>
        <v>2745923.8</v>
      </c>
      <c r="I105" s="56"/>
    </row>
    <row r="106" spans="1:9" ht="29.4" thickBot="1" x14ac:dyDescent="0.35">
      <c r="A106" s="35" t="s">
        <v>29</v>
      </c>
      <c r="B106" s="6">
        <f t="shared" ref="B106:B111" si="55">H96</f>
        <v>269176.40999999997</v>
      </c>
      <c r="C106" s="6"/>
      <c r="D106" s="6"/>
      <c r="E106" s="6">
        <f t="shared" si="52"/>
        <v>269176.40999999997</v>
      </c>
      <c r="F106" s="15"/>
      <c r="G106" s="17">
        <f t="shared" si="53"/>
        <v>0</v>
      </c>
      <c r="H106" s="57">
        <f t="shared" si="54"/>
        <v>269176.40999999997</v>
      </c>
      <c r="I106" s="56"/>
    </row>
    <row r="107" spans="1:9" ht="29.4" thickBot="1" x14ac:dyDescent="0.35">
      <c r="A107" s="35" t="s">
        <v>30</v>
      </c>
      <c r="B107" s="6">
        <f t="shared" si="55"/>
        <v>442317.98000000004</v>
      </c>
      <c r="C107" s="6"/>
      <c r="D107" s="6"/>
      <c r="E107" s="6">
        <f t="shared" si="52"/>
        <v>442317.98000000004</v>
      </c>
      <c r="F107" s="15"/>
      <c r="G107" s="17">
        <f t="shared" si="53"/>
        <v>0</v>
      </c>
      <c r="H107" s="57">
        <f t="shared" si="54"/>
        <v>442317.98000000004</v>
      </c>
      <c r="I107" s="56"/>
    </row>
    <row r="108" spans="1:9" ht="15" thickBot="1" x14ac:dyDescent="0.35">
      <c r="A108" s="35" t="s">
        <v>28</v>
      </c>
      <c r="B108" s="6">
        <f t="shared" si="55"/>
        <v>945111.97000000009</v>
      </c>
      <c r="C108" s="6"/>
      <c r="D108" s="6"/>
      <c r="E108" s="6">
        <f t="shared" si="52"/>
        <v>945111.97000000009</v>
      </c>
      <c r="F108" s="15"/>
      <c r="G108" s="17">
        <f t="shared" si="53"/>
        <v>0</v>
      </c>
      <c r="H108" s="57">
        <f t="shared" si="54"/>
        <v>945111.97000000009</v>
      </c>
      <c r="I108" s="56"/>
    </row>
    <row r="109" spans="1:9" ht="15" thickBot="1" x14ac:dyDescent="0.35">
      <c r="A109" s="35" t="s">
        <v>12</v>
      </c>
      <c r="B109" s="6">
        <f t="shared" si="55"/>
        <v>361345.84</v>
      </c>
      <c r="C109" s="6"/>
      <c r="D109" s="6"/>
      <c r="E109" s="6">
        <f t="shared" si="52"/>
        <v>361345.84</v>
      </c>
      <c r="F109" s="15"/>
      <c r="G109" s="17">
        <f t="shared" si="53"/>
        <v>0</v>
      </c>
      <c r="H109" s="57">
        <f t="shared" si="54"/>
        <v>361345.84</v>
      </c>
      <c r="I109" s="56"/>
    </row>
    <row r="110" spans="1:9" ht="15" thickBot="1" x14ac:dyDescent="0.35">
      <c r="A110" s="120" t="s">
        <v>36</v>
      </c>
      <c r="B110" s="6">
        <f t="shared" si="55"/>
        <v>23384.9</v>
      </c>
      <c r="C110" s="8"/>
      <c r="D110" s="6"/>
      <c r="E110" s="6">
        <f t="shared" si="52"/>
        <v>23384.9</v>
      </c>
      <c r="F110" s="15"/>
      <c r="G110" s="17">
        <f t="shared" si="53"/>
        <v>0</v>
      </c>
      <c r="H110" s="57">
        <f t="shared" si="54"/>
        <v>23384.9</v>
      </c>
      <c r="I110" s="56"/>
    </row>
    <row r="111" spans="1:9" ht="15" thickBot="1" x14ac:dyDescent="0.35">
      <c r="A111" s="120"/>
      <c r="B111" s="6">
        <f t="shared" si="55"/>
        <v>0</v>
      </c>
      <c r="C111" s="8"/>
      <c r="D111" s="6"/>
      <c r="E111" s="6"/>
      <c r="F111" s="15"/>
      <c r="G111" s="17">
        <f t="shared" si="53"/>
        <v>0</v>
      </c>
      <c r="H111" s="57">
        <f>F111+E111</f>
        <v>0</v>
      </c>
      <c r="I111" s="56"/>
    </row>
    <row r="112" spans="1:9" ht="15" thickBot="1" x14ac:dyDescent="0.35">
      <c r="A112" s="82" t="s">
        <v>6</v>
      </c>
      <c r="B112" s="83">
        <f t="shared" ref="B112:H112" si="56">SUM(B105:B111)</f>
        <v>4787260.9000000004</v>
      </c>
      <c r="C112" s="83">
        <f t="shared" si="56"/>
        <v>0</v>
      </c>
      <c r="D112" s="83">
        <f t="shared" si="56"/>
        <v>0</v>
      </c>
      <c r="E112" s="83">
        <f t="shared" si="56"/>
        <v>4787260.9000000004</v>
      </c>
      <c r="F112" s="83">
        <f t="shared" si="56"/>
        <v>0</v>
      </c>
      <c r="G112" s="83">
        <f t="shared" si="56"/>
        <v>0</v>
      </c>
      <c r="H112" s="83">
        <f t="shared" si="56"/>
        <v>4787260.9000000004</v>
      </c>
    </row>
    <row r="113" spans="1:13" ht="15" thickBot="1" x14ac:dyDescent="0.35"/>
    <row r="114" spans="1:13" ht="29.4" thickBot="1" x14ac:dyDescent="0.35">
      <c r="A114" s="84">
        <v>46357</v>
      </c>
      <c r="B114" s="85" t="s">
        <v>4</v>
      </c>
      <c r="C114" s="85" t="s">
        <v>0</v>
      </c>
      <c r="D114" s="85" t="s">
        <v>5</v>
      </c>
      <c r="E114" s="86" t="s">
        <v>8</v>
      </c>
      <c r="F114" s="87" t="s">
        <v>10</v>
      </c>
      <c r="G114" s="88" t="s">
        <v>9</v>
      </c>
      <c r="H114" s="89" t="s">
        <v>55</v>
      </c>
      <c r="K114" s="56"/>
    </row>
    <row r="115" spans="1:13" ht="15" thickBot="1" x14ac:dyDescent="0.35">
      <c r="A115" s="35" t="s">
        <v>27</v>
      </c>
      <c r="B115" s="6">
        <f>H105</f>
        <v>2745923.8</v>
      </c>
      <c r="C115" s="6"/>
      <c r="D115" s="6"/>
      <c r="E115" s="6">
        <f t="shared" ref="E115:E120" si="57">B115+C115-D115</f>
        <v>2745923.8</v>
      </c>
      <c r="F115" s="15"/>
      <c r="G115" s="17">
        <f t="shared" ref="G115:G121" si="58">IFERROR(F115/B115,0)</f>
        <v>0</v>
      </c>
      <c r="H115" s="57">
        <f t="shared" ref="H115:H120" si="59">F115+E115</f>
        <v>2745923.8</v>
      </c>
      <c r="I115" s="56"/>
    </row>
    <row r="116" spans="1:13" ht="29.4" thickBot="1" x14ac:dyDescent="0.35">
      <c r="A116" s="35" t="s">
        <v>29</v>
      </c>
      <c r="B116" s="6">
        <f t="shared" ref="B116:B121" si="60">H106</f>
        <v>269176.40999999997</v>
      </c>
      <c r="C116" s="6"/>
      <c r="D116" s="6"/>
      <c r="E116" s="6">
        <f t="shared" si="57"/>
        <v>269176.40999999997</v>
      </c>
      <c r="F116" s="15"/>
      <c r="G116" s="17">
        <f t="shared" si="58"/>
        <v>0</v>
      </c>
      <c r="H116" s="57">
        <f t="shared" si="59"/>
        <v>269176.40999999997</v>
      </c>
      <c r="I116" s="56"/>
      <c r="K116" s="56"/>
    </row>
    <row r="117" spans="1:13" ht="29.4" thickBot="1" x14ac:dyDescent="0.35">
      <c r="A117" s="35" t="s">
        <v>30</v>
      </c>
      <c r="B117" s="6">
        <f t="shared" si="60"/>
        <v>442317.98000000004</v>
      </c>
      <c r="C117" s="6"/>
      <c r="D117" s="6"/>
      <c r="E117" s="6">
        <f t="shared" si="57"/>
        <v>442317.98000000004</v>
      </c>
      <c r="F117" s="15"/>
      <c r="G117" s="17">
        <f t="shared" si="58"/>
        <v>0</v>
      </c>
      <c r="H117" s="57">
        <f t="shared" si="59"/>
        <v>442317.98000000004</v>
      </c>
      <c r="I117" s="56"/>
      <c r="M117" s="56"/>
    </row>
    <row r="118" spans="1:13" ht="15" thickBot="1" x14ac:dyDescent="0.35">
      <c r="A118" s="35" t="s">
        <v>28</v>
      </c>
      <c r="B118" s="6">
        <f t="shared" si="60"/>
        <v>945111.97000000009</v>
      </c>
      <c r="C118" s="6"/>
      <c r="D118" s="6"/>
      <c r="E118" s="6">
        <f t="shared" si="57"/>
        <v>945111.97000000009</v>
      </c>
      <c r="F118" s="15"/>
      <c r="G118" s="17">
        <f t="shared" si="58"/>
        <v>0</v>
      </c>
      <c r="H118" s="57">
        <f t="shared" si="59"/>
        <v>945111.97000000009</v>
      </c>
      <c r="I118" s="56"/>
    </row>
    <row r="119" spans="1:13" ht="15" thickBot="1" x14ac:dyDescent="0.35">
      <c r="A119" s="35" t="s">
        <v>12</v>
      </c>
      <c r="B119" s="6">
        <f t="shared" si="60"/>
        <v>361345.84</v>
      </c>
      <c r="C119" s="6"/>
      <c r="D119" s="6"/>
      <c r="E119" s="6">
        <f t="shared" si="57"/>
        <v>361345.84</v>
      </c>
      <c r="F119" s="15"/>
      <c r="G119" s="17">
        <f t="shared" si="58"/>
        <v>0</v>
      </c>
      <c r="H119" s="57">
        <f t="shared" si="59"/>
        <v>361345.84</v>
      </c>
      <c r="I119" s="56"/>
      <c r="M119" s="56"/>
    </row>
    <row r="120" spans="1:13" ht="15" thickBot="1" x14ac:dyDescent="0.35">
      <c r="A120" s="120" t="s">
        <v>36</v>
      </c>
      <c r="B120" s="6">
        <f t="shared" si="60"/>
        <v>23384.9</v>
      </c>
      <c r="C120" s="8"/>
      <c r="D120" s="6"/>
      <c r="E120" s="6">
        <f t="shared" si="57"/>
        <v>23384.9</v>
      </c>
      <c r="F120" s="15"/>
      <c r="G120" s="17">
        <f t="shared" si="58"/>
        <v>0</v>
      </c>
      <c r="H120" s="57">
        <f t="shared" si="59"/>
        <v>23384.9</v>
      </c>
      <c r="I120" s="56"/>
      <c r="M120" s="56"/>
    </row>
    <row r="121" spans="1:13" ht="15" thickBot="1" x14ac:dyDescent="0.35">
      <c r="A121" s="120"/>
      <c r="B121" s="6">
        <f t="shared" si="60"/>
        <v>0</v>
      </c>
      <c r="C121" s="8"/>
      <c r="D121" s="6"/>
      <c r="E121" s="6"/>
      <c r="F121" s="15"/>
      <c r="G121" s="17">
        <f t="shared" si="58"/>
        <v>0</v>
      </c>
      <c r="H121" s="57">
        <f>F121+E121</f>
        <v>0</v>
      </c>
      <c r="I121" s="56"/>
    </row>
    <row r="122" spans="1:13" ht="15" thickBot="1" x14ac:dyDescent="0.35">
      <c r="A122" s="82" t="s">
        <v>6</v>
      </c>
      <c r="B122" s="83">
        <f t="shared" ref="B122:H122" si="61">SUM(B115:B121)</f>
        <v>4787260.9000000004</v>
      </c>
      <c r="C122" s="83">
        <f t="shared" si="61"/>
        <v>0</v>
      </c>
      <c r="D122" s="83">
        <f t="shared" si="61"/>
        <v>0</v>
      </c>
      <c r="E122" s="83">
        <f t="shared" si="61"/>
        <v>4787260.9000000004</v>
      </c>
      <c r="F122" s="83">
        <f t="shared" si="61"/>
        <v>0</v>
      </c>
      <c r="G122" s="83">
        <f t="shared" si="61"/>
        <v>0</v>
      </c>
      <c r="H122" s="83">
        <f t="shared" si="61"/>
        <v>4787260.9000000004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RESUMO1</vt:lpstr>
      <vt:lpstr>BANCO XP RENATA</vt:lpstr>
      <vt:lpstr>BANCO ITAÚ RENATA HELIO</vt:lpstr>
      <vt:lpstr>SICOOB</vt:lpstr>
      <vt:lpstr>SAFRA</vt:lpstr>
      <vt:lpstr>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</dc:creator>
  <cp:lastModifiedBy>HELIO GALVÃO</cp:lastModifiedBy>
  <cp:lastPrinted>2026-03-12T20:39:53Z</cp:lastPrinted>
  <dcterms:created xsi:type="dcterms:W3CDTF">2015-06-05T18:19:34Z</dcterms:created>
  <dcterms:modified xsi:type="dcterms:W3CDTF">2026-03-24T18:48:46Z</dcterms:modified>
</cp:coreProperties>
</file>